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TS\Desktop\My Work\"/>
    </mc:Choice>
  </mc:AlternateContent>
  <xr:revisionPtr revIDLastSave="0" documentId="13_ncr:1_{7E3A5E3C-7B88-4DB0-B92A-E3F6E42CBE4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Validations" sheetId="10" r:id="rId1"/>
    <sheet name="Code File" sheetId="9" r:id="rId2"/>
    <sheet name="TagTheAsset" sheetId="3" r:id="rId3"/>
    <sheet name="Transaction" sheetId="6" r:id="rId4"/>
    <sheet name="Item wise Report" sheetId="4" state="hidden" r:id="rId5"/>
    <sheet name="Location Wise Report" sheetId="5" state="hidden" r:id="rId6"/>
  </sheets>
  <definedNames>
    <definedName name="_xlnm._FilterDatabase" localSheetId="1" hidden="1">'Code File'!$A$1:$K$51</definedName>
    <definedName name="TAG">Table1[Tagging No.]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3" l="1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E51" i="3"/>
  <c r="E50" i="3"/>
  <c r="E49" i="3"/>
  <c r="E48" i="3"/>
  <c r="E47" i="3"/>
  <c r="E46" i="3"/>
  <c r="E45" i="3"/>
  <c r="B52" i="3"/>
  <c r="A52" i="3"/>
  <c r="F52" i="3"/>
  <c r="I52" i="3"/>
  <c r="A53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A2" i="3"/>
  <c r="I44" i="9"/>
  <c r="G44" i="9"/>
  <c r="D44" i="9"/>
  <c r="I43" i="9"/>
  <c r="G43" i="9"/>
  <c r="D43" i="9"/>
  <c r="I42" i="9"/>
  <c r="G42" i="9"/>
  <c r="D42" i="9"/>
  <c r="I41" i="9"/>
  <c r="G41" i="9"/>
  <c r="D41" i="9"/>
  <c r="I40" i="9"/>
  <c r="G40" i="9"/>
  <c r="D40" i="9"/>
  <c r="I39" i="9"/>
  <c r="G39" i="9"/>
  <c r="D39" i="9"/>
  <c r="I38" i="9"/>
  <c r="G38" i="9"/>
  <c r="D38" i="9"/>
  <c r="I37" i="9"/>
  <c r="G37" i="9"/>
  <c r="D37" i="9"/>
  <c r="I36" i="9"/>
  <c r="G36" i="9"/>
  <c r="D36" i="9"/>
  <c r="I35" i="9"/>
  <c r="G35" i="9"/>
  <c r="D35" i="9"/>
  <c r="I34" i="9"/>
  <c r="G34" i="9"/>
  <c r="D34" i="9"/>
  <c r="I33" i="9"/>
  <c r="G33" i="9"/>
  <c r="D33" i="9"/>
  <c r="I32" i="9"/>
  <c r="G32" i="9"/>
  <c r="D32" i="9"/>
  <c r="I31" i="9"/>
  <c r="G31" i="9"/>
  <c r="D31" i="9"/>
  <c r="I30" i="9"/>
  <c r="G30" i="9"/>
  <c r="D30" i="9"/>
  <c r="I29" i="9"/>
  <c r="G29" i="9"/>
  <c r="D29" i="9"/>
  <c r="I28" i="9"/>
  <c r="G28" i="9"/>
  <c r="D28" i="9"/>
  <c r="I27" i="9"/>
  <c r="G27" i="9"/>
  <c r="D27" i="9"/>
  <c r="I26" i="9"/>
  <c r="G26" i="9"/>
  <c r="D26" i="9"/>
  <c r="I25" i="9"/>
  <c r="G25" i="9"/>
  <c r="D25" i="9"/>
  <c r="I24" i="9"/>
  <c r="G24" i="9"/>
  <c r="D24" i="9"/>
  <c r="I23" i="9"/>
  <c r="G23" i="9"/>
  <c r="D23" i="9"/>
  <c r="I22" i="9"/>
  <c r="G22" i="9"/>
  <c r="D22" i="9"/>
  <c r="I21" i="9"/>
  <c r="G21" i="9"/>
  <c r="D21" i="9"/>
  <c r="I20" i="9"/>
  <c r="G20" i="9"/>
  <c r="D20" i="9"/>
  <c r="I19" i="9"/>
  <c r="G19" i="9"/>
  <c r="D19" i="9"/>
  <c r="I18" i="9"/>
  <c r="G18" i="9"/>
  <c r="D18" i="9"/>
  <c r="I17" i="9"/>
  <c r="G17" i="9"/>
  <c r="D17" i="9"/>
  <c r="I16" i="9"/>
  <c r="G16" i="9"/>
  <c r="D16" i="9"/>
  <c r="I15" i="9"/>
  <c r="G15" i="9"/>
  <c r="D15" i="9"/>
  <c r="I14" i="9"/>
  <c r="G14" i="9"/>
  <c r="D14" i="9"/>
  <c r="I13" i="9"/>
  <c r="G13" i="9"/>
  <c r="D13" i="9"/>
  <c r="I12" i="9"/>
  <c r="G12" i="9"/>
  <c r="D12" i="9"/>
  <c r="I11" i="9"/>
  <c r="G11" i="9"/>
  <c r="D11" i="9"/>
  <c r="I10" i="9"/>
  <c r="G10" i="9"/>
  <c r="D10" i="9"/>
  <c r="I9" i="9"/>
  <c r="G9" i="9"/>
  <c r="D9" i="9"/>
  <c r="I8" i="9"/>
  <c r="G8" i="9"/>
  <c r="D8" i="9"/>
  <c r="I7" i="9"/>
  <c r="G7" i="9"/>
  <c r="D7" i="9"/>
  <c r="I6" i="9"/>
  <c r="G6" i="9"/>
  <c r="D6" i="9"/>
  <c r="I5" i="9"/>
  <c r="G5" i="9"/>
  <c r="D5" i="9"/>
  <c r="I4" i="9"/>
  <c r="G4" i="9"/>
  <c r="D4" i="9"/>
  <c r="I3" i="9"/>
  <c r="G3" i="9"/>
  <c r="D3" i="9"/>
  <c r="I2" i="9"/>
  <c r="G2" i="9"/>
  <c r="D2" i="9"/>
  <c r="G45" i="9"/>
  <c r="G46" i="9"/>
  <c r="G47" i="9"/>
  <c r="G48" i="9"/>
  <c r="G49" i="9"/>
  <c r="G50" i="9"/>
  <c r="G51" i="9"/>
  <c r="A2" i="9" l="1"/>
  <c r="B2" i="9"/>
  <c r="K2" i="9" s="1"/>
  <c r="B2" i="3" s="1"/>
  <c r="B3" i="9"/>
  <c r="K3" i="9" s="1"/>
  <c r="B3" i="3" s="1"/>
  <c r="I45" i="9" l="1"/>
  <c r="I46" i="9"/>
  <c r="I47" i="9"/>
  <c r="I48" i="9"/>
  <c r="I49" i="9"/>
  <c r="I50" i="9"/>
  <c r="I51" i="9"/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D45" i="9"/>
  <c r="D46" i="9"/>
  <c r="D47" i="9"/>
  <c r="D48" i="9"/>
  <c r="D49" i="9"/>
  <c r="D50" i="9"/>
  <c r="D51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B4" i="9"/>
  <c r="K4" i="9" s="1"/>
  <c r="B4" i="3" s="1"/>
  <c r="B5" i="9"/>
  <c r="K5" i="9" s="1"/>
  <c r="B5" i="3" s="1"/>
  <c r="B6" i="9"/>
  <c r="K6" i="9" s="1"/>
  <c r="B6" i="3" s="1"/>
  <c r="B7" i="9"/>
  <c r="K7" i="9" s="1"/>
  <c r="B7" i="3" s="1"/>
  <c r="B8" i="9"/>
  <c r="K8" i="9" s="1"/>
  <c r="B8" i="3" s="1"/>
  <c r="B9" i="9"/>
  <c r="K9" i="9" s="1"/>
  <c r="B9" i="3" s="1"/>
  <c r="B10" i="9"/>
  <c r="K10" i="9" s="1"/>
  <c r="B10" i="3" s="1"/>
  <c r="B11" i="9"/>
  <c r="K11" i="9" s="1"/>
  <c r="B11" i="3" s="1"/>
  <c r="B12" i="9"/>
  <c r="K12" i="9" s="1"/>
  <c r="B12" i="3" s="1"/>
  <c r="B13" i="9"/>
  <c r="K13" i="9" s="1"/>
  <c r="B13" i="3" s="1"/>
  <c r="B14" i="9"/>
  <c r="K14" i="9" s="1"/>
  <c r="B14" i="3" s="1"/>
  <c r="B15" i="9"/>
  <c r="K15" i="9" s="1"/>
  <c r="B15" i="3" s="1"/>
  <c r="B16" i="9"/>
  <c r="K16" i="9" s="1"/>
  <c r="B16" i="3" s="1"/>
  <c r="B17" i="9"/>
  <c r="K17" i="9" s="1"/>
  <c r="B17" i="3" s="1"/>
  <c r="B18" i="9"/>
  <c r="K18" i="9" s="1"/>
  <c r="B18" i="3" s="1"/>
  <c r="B19" i="9"/>
  <c r="K19" i="9" s="1"/>
  <c r="B19" i="3" s="1"/>
  <c r="B20" i="9"/>
  <c r="K20" i="9" s="1"/>
  <c r="B20" i="3" s="1"/>
  <c r="B21" i="9"/>
  <c r="K21" i="9" s="1"/>
  <c r="B21" i="3" s="1"/>
  <c r="B22" i="9"/>
  <c r="K22" i="9" s="1"/>
  <c r="B22" i="3" s="1"/>
  <c r="B23" i="9"/>
  <c r="K23" i="9" s="1"/>
  <c r="B23" i="3" s="1"/>
  <c r="B24" i="9"/>
  <c r="K24" i="9" s="1"/>
  <c r="B24" i="3" s="1"/>
  <c r="B25" i="9"/>
  <c r="K25" i="9" s="1"/>
  <c r="B25" i="3" s="1"/>
  <c r="B26" i="9"/>
  <c r="K26" i="9" s="1"/>
  <c r="B26" i="3" s="1"/>
  <c r="B27" i="9"/>
  <c r="K27" i="9" s="1"/>
  <c r="B27" i="3" s="1"/>
  <c r="B28" i="9"/>
  <c r="K28" i="9" s="1"/>
  <c r="B28" i="3" s="1"/>
  <c r="B29" i="9"/>
  <c r="K29" i="9" s="1"/>
  <c r="B29" i="3" s="1"/>
  <c r="B30" i="9"/>
  <c r="K30" i="9" s="1"/>
  <c r="B30" i="3" s="1"/>
  <c r="B31" i="9"/>
  <c r="K31" i="9" s="1"/>
  <c r="B31" i="3" s="1"/>
  <c r="B32" i="9"/>
  <c r="K32" i="9" s="1"/>
  <c r="B32" i="3" s="1"/>
  <c r="B33" i="9"/>
  <c r="K33" i="9" s="1"/>
  <c r="B33" i="3" s="1"/>
  <c r="B34" i="9"/>
  <c r="K34" i="9" s="1"/>
  <c r="B34" i="3" s="1"/>
  <c r="B35" i="9"/>
  <c r="K35" i="9" s="1"/>
  <c r="B35" i="3" s="1"/>
  <c r="B36" i="9"/>
  <c r="K36" i="9" s="1"/>
  <c r="B36" i="3" s="1"/>
  <c r="B37" i="9"/>
  <c r="K37" i="9" s="1"/>
  <c r="B37" i="3" s="1"/>
  <c r="B38" i="9"/>
  <c r="K38" i="9" s="1"/>
  <c r="B38" i="3" s="1"/>
  <c r="B39" i="9"/>
  <c r="K39" i="9" s="1"/>
  <c r="B39" i="3" s="1"/>
  <c r="B40" i="9"/>
  <c r="K40" i="9" s="1"/>
  <c r="B40" i="3" s="1"/>
  <c r="B41" i="9"/>
  <c r="K41" i="9" s="1"/>
  <c r="B41" i="3" s="1"/>
  <c r="B42" i="9"/>
  <c r="K42" i="9" s="1"/>
  <c r="B42" i="3" s="1"/>
  <c r="B43" i="9"/>
  <c r="K43" i="9" s="1"/>
  <c r="B43" i="3" s="1"/>
  <c r="B44" i="9"/>
  <c r="K44" i="9" s="1"/>
  <c r="B44" i="3" s="1"/>
  <c r="B45" i="9"/>
  <c r="K45" i="9" s="1"/>
  <c r="B45" i="3" s="1"/>
  <c r="B46" i="9"/>
  <c r="K46" i="9" s="1"/>
  <c r="B46" i="3" s="1"/>
  <c r="B47" i="9"/>
  <c r="K47" i="9" s="1"/>
  <c r="B47" i="3" s="1"/>
  <c r="B48" i="9"/>
  <c r="K48" i="9" s="1"/>
  <c r="B48" i="3" s="1"/>
  <c r="B49" i="9"/>
  <c r="K49" i="9" s="1"/>
  <c r="B49" i="3" s="1"/>
  <c r="B50" i="9"/>
  <c r="K50" i="9" s="1"/>
  <c r="B50" i="3" s="1"/>
  <c r="B51" i="9"/>
  <c r="K51" i="9" s="1"/>
  <c r="B51" i="3" s="1"/>
  <c r="A31" i="3" l="1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29" i="3"/>
  <c r="A30" i="3"/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I5" i="4" l="1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A3" i="6" l="1"/>
  <c r="A4" i="6" s="1"/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</calcChain>
</file>

<file path=xl/sharedStrings.xml><?xml version="1.0" encoding="utf-8"?>
<sst xmlns="http://schemas.openxmlformats.org/spreadsheetml/2006/main" count="1371" uniqueCount="476">
  <si>
    <t>Mcfl123</t>
  </si>
  <si>
    <t>Company Name</t>
  </si>
  <si>
    <t>Product</t>
  </si>
  <si>
    <t>Code</t>
  </si>
  <si>
    <t>Office</t>
  </si>
  <si>
    <t>Ownership</t>
  </si>
  <si>
    <t>Category</t>
  </si>
  <si>
    <t>Type of Transaction</t>
  </si>
  <si>
    <t>MCFL</t>
  </si>
  <si>
    <t>CPU</t>
  </si>
  <si>
    <t>Head Office</t>
  </si>
  <si>
    <t>HO</t>
  </si>
  <si>
    <t>Owned</t>
  </si>
  <si>
    <t>Software</t>
  </si>
  <si>
    <t>Opening Stock</t>
  </si>
  <si>
    <t>Desktop/Monitor</t>
  </si>
  <si>
    <t>Vile Parle</t>
  </si>
  <si>
    <t>Leased</t>
  </si>
  <si>
    <t>Hardware</t>
  </si>
  <si>
    <t>Addition</t>
  </si>
  <si>
    <t>Mouse</t>
  </si>
  <si>
    <t>Internal Transfer</t>
  </si>
  <si>
    <t>Keyboard</t>
  </si>
  <si>
    <t>Sold/Expired</t>
  </si>
  <si>
    <t>Laptop</t>
  </si>
  <si>
    <t>Scrapped</t>
  </si>
  <si>
    <t>Adaptor</t>
  </si>
  <si>
    <t>Printer</t>
  </si>
  <si>
    <t>Scanner</t>
  </si>
  <si>
    <t>Phone</t>
  </si>
  <si>
    <t>Sim Card</t>
  </si>
  <si>
    <t>CCTV</t>
  </si>
  <si>
    <t>Firewall</t>
  </si>
  <si>
    <t>Server</t>
  </si>
  <si>
    <t>All In One</t>
  </si>
  <si>
    <t>Switch</t>
  </si>
  <si>
    <t>Router</t>
  </si>
  <si>
    <t>Webcam</t>
  </si>
  <si>
    <t>Sr</t>
  </si>
  <si>
    <t>URN</t>
  </si>
  <si>
    <t>Company</t>
  </si>
  <si>
    <t>Location</t>
  </si>
  <si>
    <t>Location Code</t>
  </si>
  <si>
    <t>Product Code</t>
  </si>
  <si>
    <t>Tagging No.</t>
  </si>
  <si>
    <t>Smita</t>
  </si>
  <si>
    <t>NA</t>
  </si>
  <si>
    <t>END</t>
  </si>
  <si>
    <t>OF</t>
  </si>
  <si>
    <t>REPORT</t>
  </si>
  <si>
    <t>ENTER</t>
  </si>
  <si>
    <t>A</t>
  </si>
  <si>
    <t>ROW</t>
  </si>
  <si>
    <t>ABOVE</t>
  </si>
  <si>
    <t>THIS</t>
  </si>
  <si>
    <t>Sr. No.</t>
  </si>
  <si>
    <t>Tag No.</t>
  </si>
  <si>
    <t>Product Description</t>
  </si>
  <si>
    <t>Brand Name</t>
  </si>
  <si>
    <t>Serial Number-1</t>
  </si>
  <si>
    <t>Model</t>
  </si>
  <si>
    <t>Tech-Configuration</t>
  </si>
  <si>
    <t>Remark (If any)</t>
  </si>
  <si>
    <t>Cost of Asset</t>
  </si>
  <si>
    <t>Document Reference</t>
  </si>
  <si>
    <t>MCFLHO20201011000</t>
  </si>
  <si>
    <t>HP</t>
  </si>
  <si>
    <t>HP Pro 3330 MT</t>
  </si>
  <si>
    <t>i3-3220 CPU @ 3.30GHZ, 2GB RAM, 500GB HDD</t>
  </si>
  <si>
    <t>Windows 10 Professional Service Pack 1, 64 Bit</t>
  </si>
  <si>
    <t>MCFLHO20131011001</t>
  </si>
  <si>
    <t>i3-3220 CPU @ 3.30GHZ, 6GB RAM, 500GB HDD</t>
  </si>
  <si>
    <t>Windows 7 Professional Service Pack 1, 32 Bit</t>
  </si>
  <si>
    <t>MCFLHO20201011002</t>
  </si>
  <si>
    <t>MCFLHO20201011003</t>
  </si>
  <si>
    <t>MCFLHO20131011004</t>
  </si>
  <si>
    <t>MCFLHO20131011005</t>
  </si>
  <si>
    <t>MCFLHO20131011007</t>
  </si>
  <si>
    <t>i3-3220 CPU @ 3.30GHZ, 4GB RAM, 500GB HDD</t>
  </si>
  <si>
    <t>MCFLHO20131011008</t>
  </si>
  <si>
    <t>i5-3470 CPU @ 3.20GHZ, 8GB RAM, 1TBB HDD</t>
  </si>
  <si>
    <t>MCFLHO20131011009</t>
  </si>
  <si>
    <t>i3-3220 CPU @ 3.30GHZ, 16GB RAM, 1TB HDD</t>
  </si>
  <si>
    <t>Windows 10 Professional, 64 Bit</t>
  </si>
  <si>
    <t>MCFLHO20131011010</t>
  </si>
  <si>
    <t>Windows 10 Professional Service Pack 1, 32 Bit</t>
  </si>
  <si>
    <t>Dell optiplex 390</t>
  </si>
  <si>
    <t>MCFLHO20131011012</t>
  </si>
  <si>
    <t>MCFLHO20131011013</t>
  </si>
  <si>
    <t>MCFLHO20131011014</t>
  </si>
  <si>
    <t>MCFLHO20131011015</t>
  </si>
  <si>
    <t>MCFLHO20131011016</t>
  </si>
  <si>
    <t>Windows 7 Professional Service Pack 1, 64 Bit</t>
  </si>
  <si>
    <t>MCFLHO20131011017</t>
  </si>
  <si>
    <t>MCFLHO20131011019</t>
  </si>
  <si>
    <t>MCFLHO20131011020</t>
  </si>
  <si>
    <t>MCFLHO20131011021</t>
  </si>
  <si>
    <t>MCFLHO20131011022</t>
  </si>
  <si>
    <t>MCFLHO20131011023</t>
  </si>
  <si>
    <t>MCFLHO20131011024</t>
  </si>
  <si>
    <t>Lenovo Thinkcenter M91P</t>
  </si>
  <si>
    <t>i5-2400 CPU @ 3.10GHZ,8GB RAM, 320GB</t>
  </si>
  <si>
    <t>MCFLHO20131011026</t>
  </si>
  <si>
    <t>Samsung</t>
  </si>
  <si>
    <t>S19C150</t>
  </si>
  <si>
    <t>MCFLHO20131021028</t>
  </si>
  <si>
    <t>0301061948AA</t>
  </si>
  <si>
    <t>CN07BN4400540ASE38D6L003R</t>
  </si>
  <si>
    <t>MCFLHO20131021031</t>
  </si>
  <si>
    <t>MCFLHO20131021032</t>
  </si>
  <si>
    <t>CN07BN4400540ASE38D6L0110</t>
  </si>
  <si>
    <t>MCFLHO20131021034</t>
  </si>
  <si>
    <t>MCFLHO20131021035</t>
  </si>
  <si>
    <t>CN07BN4400540ASE38D6L011J</t>
  </si>
  <si>
    <t>MCFLHO20131021036</t>
  </si>
  <si>
    <t>N1151430</t>
  </si>
  <si>
    <t>MCFLHO20131021037</t>
  </si>
  <si>
    <t>MCFLHO20131021039</t>
  </si>
  <si>
    <t>MCFLHO20131021040</t>
  </si>
  <si>
    <t>MCFLHO20131021041</t>
  </si>
  <si>
    <t>MCFLHO20131021042</t>
  </si>
  <si>
    <t>MCFLHO20131021043</t>
  </si>
  <si>
    <t>MCFLHO20131021044</t>
  </si>
  <si>
    <t>MCFLHO20131021046</t>
  </si>
  <si>
    <t>MCFLHO20131021047</t>
  </si>
  <si>
    <t>MCFLHO20131021048</t>
  </si>
  <si>
    <t>MCFLHO20131021049</t>
  </si>
  <si>
    <t>MCFLHO20131021050</t>
  </si>
  <si>
    <t>MCFLHO20131021051</t>
  </si>
  <si>
    <t>MCFLHO20131021052</t>
  </si>
  <si>
    <t>Dell</t>
  </si>
  <si>
    <t>MCFLHO20131021053</t>
  </si>
  <si>
    <t>MCFLHO20131041055</t>
  </si>
  <si>
    <t>MCFLHO20131041058</t>
  </si>
  <si>
    <t>MCFLHO20131041059</t>
  </si>
  <si>
    <t>MCFLHO20131041061</t>
  </si>
  <si>
    <t>MCFLHO20131041062</t>
  </si>
  <si>
    <t>MCFLHO20131041063</t>
  </si>
  <si>
    <t>MCFLHO20131041064</t>
  </si>
  <si>
    <t>MCFLHO20131041066</t>
  </si>
  <si>
    <t>MCFLHO20131041067</t>
  </si>
  <si>
    <t>MCFLHO20131041068</t>
  </si>
  <si>
    <t>MCFLHO20131041069</t>
  </si>
  <si>
    <t>MCFLHO20131041070</t>
  </si>
  <si>
    <t>MCFLHO20131041071</t>
  </si>
  <si>
    <t>MCFLHO20131041073</t>
  </si>
  <si>
    <t>MCFLHO20131041074</t>
  </si>
  <si>
    <t>MCFLHO20131041075</t>
  </si>
  <si>
    <t>MCFLHO20131041076</t>
  </si>
  <si>
    <t>MCFLHO20131041077</t>
  </si>
  <si>
    <t>MCFLHO20131041078</t>
  </si>
  <si>
    <t>MCFLHO20131041079</t>
  </si>
  <si>
    <t>MCFLHO20131041080</t>
  </si>
  <si>
    <t>MCFLHO20131031082</t>
  </si>
  <si>
    <t>MCFLHO20131031085</t>
  </si>
  <si>
    <t>MCFLHO20131031086</t>
  </si>
  <si>
    <t>MCFLHO20131031088</t>
  </si>
  <si>
    <t>MCFLHO20131031089</t>
  </si>
  <si>
    <t>MCFLHO20131031090</t>
  </si>
  <si>
    <t>MCFLHO20131031091</t>
  </si>
  <si>
    <t>MCFLHO20131031093</t>
  </si>
  <si>
    <t>MCFLHO20131031094</t>
  </si>
  <si>
    <t>MCFLHO20131031095</t>
  </si>
  <si>
    <t>MCFLHO20131031096</t>
  </si>
  <si>
    <t>MCFLHO20131031097</t>
  </si>
  <si>
    <t>MCFLHO20131031098</t>
  </si>
  <si>
    <t>MCFLHO20131031100</t>
  </si>
  <si>
    <t>MCFLHO20131031101</t>
  </si>
  <si>
    <t>MCFLHO20131031102</t>
  </si>
  <si>
    <t>MCFLHO20131031103</t>
  </si>
  <si>
    <t>MCFLHO20131031104</t>
  </si>
  <si>
    <t>MCFLHO20131031105</t>
  </si>
  <si>
    <t>MCFLHO20131031106</t>
  </si>
  <si>
    <t>MCFLHO20131031107</t>
  </si>
  <si>
    <t>MCFLHO20151051108</t>
  </si>
  <si>
    <t>MCFLHO20191051109</t>
  </si>
  <si>
    <t>Windows 10 Pro, 64 Bit</t>
  </si>
  <si>
    <t>MCFLHO20191051110</t>
  </si>
  <si>
    <t>MCFLHO20181051111</t>
  </si>
  <si>
    <t>MCFLHO20191051112</t>
  </si>
  <si>
    <t>MCFLHO20151051113</t>
  </si>
  <si>
    <t>MCFLHO20191051114</t>
  </si>
  <si>
    <t>MCFLHO20191051115</t>
  </si>
  <si>
    <t>MCFLHO20151051116</t>
  </si>
  <si>
    <t>MCFLHO20151051117</t>
  </si>
  <si>
    <t>MCFLHO20151051118</t>
  </si>
  <si>
    <t>MCFLHO20151051119</t>
  </si>
  <si>
    <t>MCFLHO20151051120</t>
  </si>
  <si>
    <t>MCFLHO20151051121</t>
  </si>
  <si>
    <t>MCFLHO20191051122</t>
  </si>
  <si>
    <t>MCFLHO20191051123</t>
  </si>
  <si>
    <t>MCFLHO20191051124</t>
  </si>
  <si>
    <t>MCFLHO20151051125</t>
  </si>
  <si>
    <t>MCFLHO20191051126</t>
  </si>
  <si>
    <t>MCFLHO20191051127</t>
  </si>
  <si>
    <t>MCFLHO20191051128</t>
  </si>
  <si>
    <t>MCFLHO20191051129</t>
  </si>
  <si>
    <t>MCFLHO20151071130</t>
  </si>
  <si>
    <t>MCFLHO20151071131</t>
  </si>
  <si>
    <t>MCFLHO20151071132</t>
  </si>
  <si>
    <t>MCFLHO20151071133</t>
  </si>
  <si>
    <t>MCFLHO20201071134</t>
  </si>
  <si>
    <t>MCFLHO20151071135</t>
  </si>
  <si>
    <t>MCFLHO20151071136</t>
  </si>
  <si>
    <t>MCFLHO20201071137</t>
  </si>
  <si>
    <t>MCFLHO20131151138</t>
  </si>
  <si>
    <t>MCFLHO20131151139</t>
  </si>
  <si>
    <t>MCFLHO20131151140</t>
  </si>
  <si>
    <t>MCFLHO20131151141</t>
  </si>
  <si>
    <t>MCFLHO20181111142</t>
  </si>
  <si>
    <t>MCFLHO20201091143</t>
  </si>
  <si>
    <t>MCFLHO20181141144</t>
  </si>
  <si>
    <t>MCFLHO20191091145</t>
  </si>
  <si>
    <t>MCFLHO20201051146</t>
  </si>
  <si>
    <t>MCFLHO20201061147</t>
  </si>
  <si>
    <t>MCFLBR120201051148</t>
  </si>
  <si>
    <t>MCFLBR120201061149</t>
  </si>
  <si>
    <t>MCFLBR120201181150</t>
  </si>
  <si>
    <t>MCFLHO20201051151</t>
  </si>
  <si>
    <t>MCFLHO20201061152</t>
  </si>
  <si>
    <t>MCFLHO20201051153</t>
  </si>
  <si>
    <t>MCFLHO20201061154</t>
  </si>
  <si>
    <t>MCFLBR120201161155</t>
  </si>
  <si>
    <t>MCFLBR120201091156</t>
  </si>
  <si>
    <t>MCFLBR120201091157</t>
  </si>
  <si>
    <t>Error check</t>
  </si>
  <si>
    <t>Date of Transaction</t>
  </si>
  <si>
    <t>Location From</t>
  </si>
  <si>
    <t>User From</t>
  </si>
  <si>
    <t>Location To</t>
  </si>
  <si>
    <t>User To</t>
  </si>
  <si>
    <t>Department</t>
  </si>
  <si>
    <t>Emp/VendorCode</t>
  </si>
  <si>
    <t>Reference Type</t>
  </si>
  <si>
    <t>Date of Reference</t>
  </si>
  <si>
    <t>Approved By</t>
  </si>
  <si>
    <t>Invoice</t>
  </si>
  <si>
    <t>Proforma Invoice</t>
  </si>
  <si>
    <t>Qty</t>
  </si>
  <si>
    <t>Additions</t>
  </si>
  <si>
    <t>Transfer</t>
  </si>
  <si>
    <t>Sold/Expired2</t>
  </si>
  <si>
    <t>Scrap</t>
  </si>
  <si>
    <t>Closing Stock2</t>
  </si>
  <si>
    <t>Desktop/monitor</t>
  </si>
  <si>
    <t>Closing Stock</t>
  </si>
  <si>
    <t>MCFL-HO</t>
  </si>
  <si>
    <t>MCFLBR120201051158</t>
  </si>
  <si>
    <t>MCFLBR120201061159</t>
  </si>
  <si>
    <t>MCFLBR120201051160</t>
  </si>
  <si>
    <t>MCFLBR120201061161</t>
  </si>
  <si>
    <t>MCFLHO20201091162</t>
  </si>
  <si>
    <t>MCFLHO20201091163</t>
  </si>
  <si>
    <t>MCFLHO20201051164</t>
  </si>
  <si>
    <t>MCFLHO20201061165</t>
  </si>
  <si>
    <t>MCFLHO20201051166</t>
  </si>
  <si>
    <t>MCFLHO20201061167</t>
  </si>
  <si>
    <t>MCFLBR120201011168</t>
  </si>
  <si>
    <t>MCFLBR120201021169</t>
  </si>
  <si>
    <t>MCFLBR120201041170</t>
  </si>
  <si>
    <t>MCFLBR120201031171</t>
  </si>
  <si>
    <t>MCFLBR120201011172</t>
  </si>
  <si>
    <t>MCFLBR120201021173</t>
  </si>
  <si>
    <t>MCFLBR120201041174</t>
  </si>
  <si>
    <t>MCFLBR120201031175</t>
  </si>
  <si>
    <t>MCFLHO20201061176</t>
  </si>
  <si>
    <t>MCFLHO20201061177</t>
  </si>
  <si>
    <t>MCFLHO20201091178</t>
  </si>
  <si>
    <t>NAS Box</t>
  </si>
  <si>
    <t>HOD</t>
  </si>
  <si>
    <t>SHPLHO20211071181</t>
  </si>
  <si>
    <t>SHPLHO20211091182</t>
  </si>
  <si>
    <t>SHPLHO20211091183</t>
  </si>
  <si>
    <t>SHPLHO20211061184</t>
  </si>
  <si>
    <t>SHPLHO20211061185</t>
  </si>
  <si>
    <t>MCFLHO20211191186</t>
  </si>
  <si>
    <t>MCFLHO20211031187</t>
  </si>
  <si>
    <t>MCFLHO20211031188</t>
  </si>
  <si>
    <t>MCFLHO20211031189</t>
  </si>
  <si>
    <t>MCFLBR120211031190</t>
  </si>
  <si>
    <t>MCFLBR120211031191</t>
  </si>
  <si>
    <t>MCFLHO20211091192</t>
  </si>
  <si>
    <t>MCFLHO20211061193</t>
  </si>
  <si>
    <t>MCFLHO20211091194</t>
  </si>
  <si>
    <t>MCFLHO20211061195</t>
  </si>
  <si>
    <t>MCFLHO20211051196</t>
  </si>
  <si>
    <t>MCFLHO20211061197</t>
  </si>
  <si>
    <t>MCFLHO20211051198</t>
  </si>
  <si>
    <t>MCFLHO20211061199</t>
  </si>
  <si>
    <t>MCFLHO20201051179</t>
  </si>
  <si>
    <t>MCFLHO20201061180</t>
  </si>
  <si>
    <t>Invoice(Desktop Bill)</t>
  </si>
  <si>
    <t>i3- 9th Gen, 4GB RAM, 1TB HDD</t>
  </si>
  <si>
    <t>Invoice(Bhavika Jain Desktop)</t>
  </si>
  <si>
    <t>MCFLHO20201011006</t>
  </si>
  <si>
    <t>MCFLHO20201011011</t>
  </si>
  <si>
    <t>MCFLHO20201011018</t>
  </si>
  <si>
    <t>MCFLHO20191011025</t>
  </si>
  <si>
    <t>MCFLHO20201021027</t>
  </si>
  <si>
    <t>MCFLHO20201021029</t>
  </si>
  <si>
    <t>MCFLHO20201021030</t>
  </si>
  <si>
    <t>MCFLHO20201021033</t>
  </si>
  <si>
    <t>MCFLHO20201021038</t>
  </si>
  <si>
    <t>MCFLHO20201021045</t>
  </si>
  <si>
    <t>MCFLHO20201041054</t>
  </si>
  <si>
    <t>MCFLHO20201041056</t>
  </si>
  <si>
    <t>MCFLHO20201041057</t>
  </si>
  <si>
    <t>MCFLHO20201041060</t>
  </si>
  <si>
    <t>MCFLHO20201041065</t>
  </si>
  <si>
    <t>MCFLHO20201041072</t>
  </si>
  <si>
    <t>MCFLHO20201031081</t>
  </si>
  <si>
    <t>MCFLHO20201031083</t>
  </si>
  <si>
    <t>MCFLHO20201031084</t>
  </si>
  <si>
    <t>MCFLHO20201031087</t>
  </si>
  <si>
    <t>MCFLHO20201031092</t>
  </si>
  <si>
    <t>MCFLHO20201031099</t>
  </si>
  <si>
    <t>Accounts</t>
  </si>
  <si>
    <t>MCFLHO20201051200</t>
  </si>
  <si>
    <t>MCFLHO20201061201</t>
  </si>
  <si>
    <t>MCFLHO20201051202</t>
  </si>
  <si>
    <t>MCFLHO20201061203</t>
  </si>
  <si>
    <t>MCFLHO20201051204</t>
  </si>
  <si>
    <t>MCFLHO20201061205</t>
  </si>
  <si>
    <t>SHPLHO20201051206</t>
  </si>
  <si>
    <t>SHPLHO20201061207</t>
  </si>
  <si>
    <t>Mobile Charger</t>
  </si>
  <si>
    <t>TAB</t>
  </si>
  <si>
    <t>External HDD</t>
  </si>
  <si>
    <t>Headset</t>
  </si>
  <si>
    <t>Mobile</t>
  </si>
  <si>
    <t>CCTV Camera</t>
  </si>
  <si>
    <t>Vashi</t>
  </si>
  <si>
    <t>Virar</t>
  </si>
  <si>
    <t>VSH</t>
  </si>
  <si>
    <t>VR</t>
  </si>
  <si>
    <t>VLP</t>
  </si>
  <si>
    <t>Malad</t>
  </si>
  <si>
    <t>MDD</t>
  </si>
  <si>
    <t>Dombivli</t>
  </si>
  <si>
    <t>DI</t>
  </si>
  <si>
    <t>Dharavi</t>
  </si>
  <si>
    <t>DH</t>
  </si>
  <si>
    <t>Panvel</t>
  </si>
  <si>
    <t>PNVL</t>
  </si>
  <si>
    <t>Surat</t>
  </si>
  <si>
    <t>Rajkot</t>
  </si>
  <si>
    <t>ST</t>
  </si>
  <si>
    <t>RJT</t>
  </si>
  <si>
    <t>Mira Road</t>
  </si>
  <si>
    <t>MIRA</t>
  </si>
  <si>
    <t>Badlapur</t>
  </si>
  <si>
    <t>BUD</t>
  </si>
  <si>
    <t>Assign To</t>
  </si>
  <si>
    <t>Year of 
Acquistion</t>
  </si>
  <si>
    <t>Date of 
Acquisition</t>
  </si>
  <si>
    <t>Product 
Serial Number</t>
  </si>
  <si>
    <t>Biomax</t>
  </si>
  <si>
    <t>Weighing Machine</t>
  </si>
  <si>
    <t>Note Counting Machine</t>
  </si>
  <si>
    <t>Landline Phone</t>
  </si>
  <si>
    <t>Access Point</t>
  </si>
  <si>
    <t>Guardwell Vault</t>
  </si>
  <si>
    <t>UPS</t>
  </si>
  <si>
    <t>HDD</t>
  </si>
  <si>
    <t>SSD</t>
  </si>
  <si>
    <t>Kalyan</t>
  </si>
  <si>
    <t>KYN</t>
  </si>
  <si>
    <t>DT</t>
  </si>
  <si>
    <t>TFT</t>
  </si>
  <si>
    <t>LP</t>
  </si>
  <si>
    <t>ADP</t>
  </si>
  <si>
    <t>PRI</t>
  </si>
  <si>
    <t>SCAN</t>
  </si>
  <si>
    <t>MOB</t>
  </si>
  <si>
    <t>SVR</t>
  </si>
  <si>
    <t>SWI</t>
  </si>
  <si>
    <t>ROU</t>
  </si>
  <si>
    <t>WEB</t>
  </si>
  <si>
    <t>NAS</t>
  </si>
  <si>
    <t>EHDD</t>
  </si>
  <si>
    <t>AP</t>
  </si>
  <si>
    <t>Kalavad</t>
  </si>
  <si>
    <t>Vasai</t>
  </si>
  <si>
    <t>BSR</t>
  </si>
  <si>
    <t>KLVD</t>
  </si>
  <si>
    <t>MCHG</t>
  </si>
  <si>
    <t>Surendranagar</t>
  </si>
  <si>
    <t>SUNR</t>
  </si>
  <si>
    <t>NVR</t>
  </si>
  <si>
    <t>CAM</t>
  </si>
  <si>
    <t>AS</t>
  </si>
  <si>
    <t>BIO</t>
  </si>
  <si>
    <t>UPS Battery</t>
  </si>
  <si>
    <t>UPSB</t>
  </si>
  <si>
    <t>Prabhadevi</t>
  </si>
  <si>
    <t>PBHD</t>
  </si>
  <si>
    <t>JaiHindCottage</t>
  </si>
  <si>
    <t>JHC</t>
  </si>
  <si>
    <t>FW</t>
  </si>
  <si>
    <t>TEL</t>
  </si>
  <si>
    <t>Purchased From</t>
  </si>
  <si>
    <t>Warranty Expiry</t>
  </si>
  <si>
    <t>Thane</t>
  </si>
  <si>
    <t>TNA</t>
  </si>
  <si>
    <t>ACG Telecom</t>
  </si>
  <si>
    <t>Mavdi</t>
  </si>
  <si>
    <t>MVD</t>
  </si>
  <si>
    <t>MBHPL</t>
  </si>
  <si>
    <t>HBTS</t>
  </si>
  <si>
    <t>MEPL</t>
  </si>
  <si>
    <t>MFPL</t>
  </si>
  <si>
    <t>DET</t>
  </si>
  <si>
    <t>Status</t>
  </si>
  <si>
    <t>IPAD</t>
  </si>
  <si>
    <t>IPAD Charger</t>
  </si>
  <si>
    <t>IPADC</t>
  </si>
  <si>
    <t>Flipkart</t>
  </si>
  <si>
    <t>Ambernath</t>
  </si>
  <si>
    <t>ABH</t>
  </si>
  <si>
    <t>Kankroli</t>
  </si>
  <si>
    <t>KDL</t>
  </si>
  <si>
    <t>Sunderwas</t>
  </si>
  <si>
    <t>SDW</t>
  </si>
  <si>
    <t>MRK Computers</t>
  </si>
  <si>
    <t>Bhayandar</t>
  </si>
  <si>
    <t>BYR</t>
  </si>
  <si>
    <t>Softlink Technosys</t>
  </si>
  <si>
    <t>CY42Z64</t>
  </si>
  <si>
    <t>G5MDT74</t>
  </si>
  <si>
    <t>3NVHY64</t>
  </si>
  <si>
    <t>58WVX64</t>
  </si>
  <si>
    <t>4ZSC864</t>
  </si>
  <si>
    <t>G9WVX64</t>
  </si>
  <si>
    <t>Nathdwara Branch</t>
  </si>
  <si>
    <t>CN-07JHD3-CH600-4AE-0AZI-A02</t>
  </si>
  <si>
    <t>CN-07JHD3-CH600-4C9-0HW0-A02</t>
  </si>
  <si>
    <t>CN-03PHNW-LOC00-4AI-0BB3-A02</t>
  </si>
  <si>
    <t>Nathdwara</t>
  </si>
  <si>
    <t>NDT</t>
  </si>
  <si>
    <t>Karjat</t>
  </si>
  <si>
    <t>KJT</t>
  </si>
  <si>
    <t>Karjat Branch</t>
  </si>
  <si>
    <t>AMDB24111500028</t>
  </si>
  <si>
    <t>AMDB24052200858</t>
  </si>
  <si>
    <t>Q37689185</t>
  </si>
  <si>
    <t>22463N3008737</t>
  </si>
  <si>
    <t>S08G2241203473</t>
  </si>
  <si>
    <t>CNBRT5N0V1</t>
  </si>
  <si>
    <t>FV5562000</t>
  </si>
  <si>
    <t>FV5562002</t>
  </si>
  <si>
    <t>FV3220092</t>
  </si>
  <si>
    <t>FV3220117</t>
  </si>
  <si>
    <t>FV3220139</t>
  </si>
  <si>
    <t>FV5561977</t>
  </si>
  <si>
    <t>FV3220049</t>
  </si>
  <si>
    <t>FV3220128</t>
  </si>
  <si>
    <t>CN-0G4G24-DES00-495-EMOI-A02</t>
  </si>
  <si>
    <t>CN-0G4G24-DES00-495-EMOP-A02</t>
  </si>
  <si>
    <t>CN-07JHD3-CH600-494-0UUN-A02</t>
  </si>
  <si>
    <t>R9ZY30VM02N</t>
  </si>
  <si>
    <t>CNBRT3P2DP</t>
  </si>
  <si>
    <t>Alarm System</t>
  </si>
  <si>
    <t>AMDB24111500440</t>
  </si>
  <si>
    <t>C263449807121C24</t>
  </si>
  <si>
    <t>Q34225152</t>
  </si>
  <si>
    <t>FR1139376</t>
  </si>
  <si>
    <t>AG9447112</t>
  </si>
  <si>
    <t>AG9447209</t>
  </si>
  <si>
    <t>AG9447439</t>
  </si>
  <si>
    <t>AW0881697</t>
  </si>
  <si>
    <t>AG9447461</t>
  </si>
  <si>
    <t>AG9447455</t>
  </si>
  <si>
    <t>2025048231345</t>
  </si>
  <si>
    <t>22352F3003350</t>
  </si>
  <si>
    <t>AG9447454</t>
  </si>
  <si>
    <t>FOY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</si>
</sst>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wrapText="1"/>
    </xf>
    <xf numFmtId="0" fontId="0" fillId="0" borderId="0" xfId="0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0" fillId="0" borderId="0" xfId="0" applyAlignment="1" applyProtection="1">
      <alignment horizontal="center" wrapText="1"/>
      <protection locked="0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0" fillId="0" borderId="12" xfId="0" applyBorder="1"/>
    <xf numFmtId="0" fontId="3" fillId="0" borderId="1" xfId="0" applyFont="1" applyBorder="1"/>
    <xf numFmtId="0" fontId="0" fillId="0" borderId="0" xfId="0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 applyProtection="1">
      <alignment horizontal="center"/>
      <protection locked="0"/>
    </xf>
    <xf numFmtId="1" fontId="4" fillId="0" borderId="4" xfId="0" applyNumberFormat="1" applyFont="1" applyBorder="1" applyAlignment="1">
      <alignment horizontal="center" vertical="center"/>
    </xf>
    <xf numFmtId="1" fontId="0" fillId="0" borderId="0" xfId="0" applyNumberFormat="1"/>
    <xf numFmtId="0" fontId="1" fillId="0" borderId="5" xfId="0" applyFont="1" applyBorder="1" applyAlignment="1" applyProtection="1">
      <alignment horizontal="center" vertical="center" wrapText="1"/>
      <protection locked="0"/>
    </xf>
    <xf numFmtId="0" fontId="0" fillId="0" borderId="2" xfId="0" applyBorder="1" applyProtection="1"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0" fillId="0" borderId="14" xfId="0" applyBorder="1"/>
    <xf numFmtId="0" fontId="3" fillId="2" borderId="13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1" fillId="2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wrapText="1"/>
      <protection locked="0"/>
    </xf>
    <xf numFmtId="0" fontId="0" fillId="4" borderId="1" xfId="0" applyFill="1" applyBorder="1" applyAlignment="1">
      <alignment horizontal="left" vertical="center" wrapText="1"/>
    </xf>
    <xf numFmtId="0" fontId="1" fillId="0" borderId="3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0" fontId="0" fillId="0" borderId="13" xfId="0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0" fillId="0" borderId="0" xfId="0" applyNumberFormat="1"/>
    <xf numFmtId="14" fontId="0" fillId="0" borderId="1" xfId="0" applyNumberFormat="1" applyBorder="1"/>
    <xf numFmtId="1" fontId="1" fillId="0" borderId="3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 applyProtection="1">
      <alignment horizontal="center" vertical="center" wrapText="1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0" xfId="0" applyNumberFormat="1"/>
    <xf numFmtId="0" fontId="0" fillId="4" borderId="1" xfId="0" applyFill="1" applyBorder="1" applyAlignment="1" applyProtection="1">
      <alignment horizontal="left" vertical="center" wrapText="1"/>
    </xf>
  </cellXfs>
  <cellStyles count="1">
    <cellStyle name="Normal" xfId="0" builtinId="0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4" tint="0.7999816888943144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protection locked="0" hidden="0"/>
    </dxf>
    <dxf>
      <numFmt numFmtId="0" formatCode="General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4" formatCode="[$-409]d\-mmm\-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1:B8" totalsRowShown="0" headerRowDxfId="98" headerRowBorderDxfId="97" tableBorderDxfId="96" totalsRowBorderDxfId="95">
  <tableColumns count="1">
    <tableColumn id="1" xr3:uid="{00000000-0010-0000-0000-000001000000}" name="Company Name" dataDxfId="9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D1:E36" totalsRowShown="0" headerRowDxfId="93" headerRowBorderDxfId="92" tableBorderDxfId="91" totalsRowBorderDxfId="90">
  <tableColumns count="2">
    <tableColumn id="1" xr3:uid="{00000000-0010-0000-0100-000001000000}" name="Product" dataDxfId="89"/>
    <tableColumn id="2" xr3:uid="{00000000-0010-0000-0100-000002000000}" name="Code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7" displayName="Table7" ref="G1:H27" totalsRowShown="0" headerRowDxfId="87" headerRowBorderDxfId="86" tableBorderDxfId="85" totalsRowBorderDxfId="84">
  <tableColumns count="2">
    <tableColumn id="1" xr3:uid="{00000000-0010-0000-0200-000001000000}" name="Office" dataDxfId="83"/>
    <tableColumn id="2" xr3:uid="{00000000-0010-0000-0200-000002000000}" name="Code" dataDxfId="8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le8" displayName="Table8" ref="J1:J3" totalsRowShown="0" headerRowDxfId="81" headerRowBorderDxfId="80" tableBorderDxfId="79" totalsRowBorderDxfId="78">
  <tableColumns count="1">
    <tableColumn id="1" xr3:uid="{00000000-0010-0000-0300-000001000000}" name="Ownershi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Table9" displayName="Table9" ref="L1:L3" totalsRowShown="0" headerRowDxfId="77" dataDxfId="75" headerRowBorderDxfId="76" tableBorderDxfId="74" totalsRowBorderDxfId="73">
  <tableColumns count="1">
    <tableColumn id="1" xr3:uid="{00000000-0010-0000-0400-000001000000}" name="Category" dataDxfId="7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Table10" displayName="Table10" ref="N1:N6" totalsRowShown="0" headerRowDxfId="71" dataDxfId="69" headerRowBorderDxfId="70" tableBorderDxfId="68" totalsRowBorderDxfId="67">
  <tableColumns count="1">
    <tableColumn id="1" xr3:uid="{00000000-0010-0000-0500-000001000000}" name="Type of Transaction" dataDxfId="6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Table1" displayName="Table1" ref="A1:O51" totalsRowShown="0" headerRowDxfId="65" dataDxfId="63" headerRowBorderDxfId="64" tableBorderDxfId="62">
  <autoFilter ref="A1:O51" xr:uid="{00000000-0009-0000-0100-000001000000}"/>
  <tableColumns count="15">
    <tableColumn id="11" xr3:uid="{00000000-0010-0000-0600-00000B000000}" name="Sr" dataDxfId="61">
      <calculatedColumnFormula>ROW(Table1[[#This Row],[Product 
Serial Number]])-ROW(Table1[[#Headers],[URN]])</calculatedColumnFormula>
    </tableColumn>
    <tableColumn id="1" xr3:uid="{00000000-0010-0000-0600-000001000000}" name="URN" dataDxfId="60">
      <calculatedColumnFormula>ROW(Table1[[#This Row],[Product 
Serial Number]])-ROW(Table1[[#Headers],[URN]])+999</calculatedColumnFormula>
    </tableColumn>
    <tableColumn id="3" xr3:uid="{00000000-0010-0000-0600-000003000000}" name="Date of _x000a_Acquisition" dataDxfId="59"/>
    <tableColumn id="12" xr3:uid="{00000000-0010-0000-0600-00000C000000}" name="Year of _x000a_Acquistion" dataDxfId="58">
      <calculatedColumnFormula>YEAR(Table1[[#This Row],[Date of 
Acquisition]])</calculatedColumnFormula>
    </tableColumn>
    <tableColumn id="4" xr3:uid="{00000000-0010-0000-0600-000004000000}" name="Company" dataDxfId="57"/>
    <tableColumn id="5" xr3:uid="{00000000-0010-0000-0600-000005000000}" name="Location" dataDxfId="56"/>
    <tableColumn id="6" xr3:uid="{00000000-0010-0000-0600-000006000000}" name="Location Code" dataDxfId="55">
      <calculatedColumnFormula>VLOOKUP(F2,Validations!$G$2:$H$27,2,0)</calculatedColumnFormula>
    </tableColumn>
    <tableColumn id="7" xr3:uid="{00000000-0010-0000-0600-000007000000}" name="Product" dataDxfId="54"/>
    <tableColumn id="8" xr3:uid="{00000000-0010-0000-0600-000008000000}" name="Product Code" dataDxfId="53">
      <calculatedColumnFormula>VLOOKUP(H2,Validations!$D$2:$E$36,2,0)</calculatedColumnFormula>
    </tableColumn>
    <tableColumn id="2" xr3:uid="{00000000-0010-0000-0600-000002000000}" name="Product _x000a_Serial Number" dataDxfId="52"/>
    <tableColumn id="9" xr3:uid="{00000000-0010-0000-0600-000009000000}" name="Tagging No." dataDxfId="51">
      <calculatedColumnFormula>IF(ISBLANK(C2),0,(E2&amp;G2&amp;D2&amp;I2&amp;B2))</calculatedColumnFormula>
    </tableColumn>
    <tableColumn id="10" xr3:uid="{00000000-0010-0000-0600-00000A000000}" name="Assign To" dataDxfId="50"/>
    <tableColumn id="13" xr3:uid="{9B4609F3-58FE-426F-815A-17BD31AB3E74}" name="Purchased From" dataDxfId="49"/>
    <tableColumn id="14" xr3:uid="{80602B47-BFA3-4A59-871A-D0883A114370}" name="Warranty Expiry" dataDxfId="48"/>
    <tableColumn id="15" xr3:uid="{7E6FDD25-DC6B-4753-AE46-175C7B7285D3}" name="Status" dataDxfId="4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7000000}" name="Table5" displayName="Table5" ref="A1:O52" totalsRowShown="0" headerRowDxfId="46">
  <tableColumns count="15">
    <tableColumn id="1" xr3:uid="{00000000-0010-0000-0700-000001000000}" name="Sr. No." dataDxfId="45">
      <calculatedColumnFormula>ROW(TagTheAsset!$B2)-ROW(TagTheAsset!$A$1)</calculatedColumnFormula>
    </tableColumn>
    <tableColumn id="2" xr3:uid="{00000000-0010-0000-0700-000002000000}" name="Tag No."/>
    <tableColumn id="3" xr3:uid="{00000000-0010-0000-0700-000003000000}" name="Ownership"/>
    <tableColumn id="4" xr3:uid="{00000000-0010-0000-0700-000004000000}" name="Category"/>
    <tableColumn id="5" xr3:uid="{00000000-0010-0000-0700-000005000000}" name="Product"/>
    <tableColumn id="6" xr3:uid="{00000000-0010-0000-0700-000006000000}" name="Product Code" dataDxfId="44">
      <calculatedColumnFormula>VLOOKUP(Table5[[#This Row],[Product]],Table6[],2,0)</calculatedColumnFormula>
    </tableColumn>
    <tableColumn id="7" xr3:uid="{00000000-0010-0000-0700-000007000000}" name="Product Description"/>
    <tableColumn id="12" xr3:uid="{00000000-0010-0000-0700-00000C000000}" name="Brand Name"/>
    <tableColumn id="11" xr3:uid="{00000000-0010-0000-0700-00000B000000}" name="Serial Number-1" dataDxfId="12">
      <calculatedColumnFormula>VLOOKUP(Table5[[#This Row],[Tag No.]],#REF!,2,0)</calculatedColumnFormula>
    </tableColumn>
    <tableColumn id="8" xr3:uid="{00000000-0010-0000-0700-000008000000}" name="Model" dataDxfId="43"/>
    <tableColumn id="9" xr3:uid="{00000000-0010-0000-0700-000009000000}" name="Tech-Configuration"/>
    <tableColumn id="10" xr3:uid="{00000000-0010-0000-0700-00000A000000}" name="Windows 10 Pro, 64 Bit"/>
    <tableColumn id="13" xr3:uid="{00000000-0010-0000-0700-00000D000000}" name="Remark (If any)"/>
    <tableColumn id="14" xr3:uid="{00000000-0010-0000-0700-00000E000000}" name="Cost of Asset"/>
    <tableColumn id="15" xr3:uid="{00000000-0010-0000-0700-00000F000000}" name="Document Referenc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8000000}" name="Table2" displayName="Table2" ref="A1:N209" totalsRowShown="0" headerRowDxfId="42" headerRowBorderDxfId="41" tableBorderDxfId="40">
  <autoFilter ref="A1:N209" xr:uid="{00000000-0009-0000-0100-000002000000}"/>
  <sortState xmlns:xlrd2="http://schemas.microsoft.com/office/spreadsheetml/2017/richdata2" ref="A2:N31">
    <sortCondition ref="G1:G31"/>
  </sortState>
  <tableColumns count="14">
    <tableColumn id="1" xr3:uid="{00000000-0010-0000-0800-000001000000}" name="Sr. No." dataDxfId="39"/>
    <tableColumn id="2" xr3:uid="{00000000-0010-0000-0800-000002000000}" name="Tag No." dataDxfId="38"/>
    <tableColumn id="14" xr3:uid="{00000000-0010-0000-0800-00000E000000}" name="Error check" dataDxfId="37"/>
    <tableColumn id="3" xr3:uid="{00000000-0010-0000-0800-000003000000}" name="Date of Transaction" dataDxfId="36"/>
    <tableColumn id="4" xr3:uid="{00000000-0010-0000-0800-000004000000}" name="Type of Transaction" dataDxfId="35"/>
    <tableColumn id="5" xr3:uid="{00000000-0010-0000-0800-000005000000}" name="Location From" dataDxfId="34"/>
    <tableColumn id="6" xr3:uid="{00000000-0010-0000-0800-000006000000}" name="User From" dataDxfId="33"/>
    <tableColumn id="7" xr3:uid="{00000000-0010-0000-0800-000007000000}" name="Location To" dataDxfId="32"/>
    <tableColumn id="8" xr3:uid="{00000000-0010-0000-0800-000008000000}" name="User To" dataDxfId="31"/>
    <tableColumn id="9" xr3:uid="{00000000-0010-0000-0800-000009000000}" name="Department" dataDxfId="30"/>
    <tableColumn id="10" xr3:uid="{00000000-0010-0000-0800-00000A000000}" name="Emp/VendorCode" dataDxfId="29"/>
    <tableColumn id="11" xr3:uid="{00000000-0010-0000-0800-00000B000000}" name="Reference Type" dataDxfId="28"/>
    <tableColumn id="12" xr3:uid="{00000000-0010-0000-0800-00000C000000}" name="Date of Reference" dataDxfId="27"/>
    <tableColumn id="13" xr3:uid="{00000000-0010-0000-0800-00000D000000}" name="Approved By" dataDxfId="26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le3" displayName="Table3" ref="A4:I20" totalsRowShown="0" headerRowDxfId="25" headerRowBorderDxfId="24" tableBorderDxfId="23" totalsRowBorderDxfId="22">
  <autoFilter ref="A4:I20" xr:uid="{00000000-0009-0000-0100-000003000000}"/>
  <tableColumns count="9">
    <tableColumn id="2" xr3:uid="{00000000-0010-0000-0900-000002000000}" name="Product Code" dataDxfId="21"/>
    <tableColumn id="1" xr3:uid="{00000000-0010-0000-0900-000001000000}" name="Product" dataDxfId="20"/>
    <tableColumn id="9" xr3:uid="{00000000-0010-0000-0900-000009000000}" name="Qty" dataDxfId="19"/>
    <tableColumn id="3" xr3:uid="{00000000-0010-0000-0900-000003000000}" name="Opening Stock" dataDxfId="18"/>
    <tableColumn id="4" xr3:uid="{00000000-0010-0000-0900-000004000000}" name="Additions" dataDxfId="17"/>
    <tableColumn id="5" xr3:uid="{00000000-0010-0000-0900-000005000000}" name="Transfer" dataDxfId="16"/>
    <tableColumn id="6" xr3:uid="{00000000-0010-0000-0900-000006000000}" name="Sold/Expired2" dataDxfId="15"/>
    <tableColumn id="7" xr3:uid="{00000000-0010-0000-0900-000007000000}" name="Scrap" dataDxfId="14"/>
    <tableColumn id="8" xr3:uid="{00000000-0010-0000-0900-000008000000}" name="Closing Stock2" dataDxfId="13">
      <calculatedColumnFormula>Table3[[#This Row],[Opening Stock]]+Table3[[#This Row],[Additions]]-Table3[[#This Row],[Transfer]]-Table3[[#This Row],[Sold/Expired2]]-Table3[[#This Row],[Scrap]]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workbookViewId="0">
      <selection activeCell="H2" sqref="H2"/>
    </sheetView>
  </sheetViews>
  <sheetFormatPr defaultRowHeight="14.25" x14ac:dyDescent="0.45"/>
  <cols>
    <col min="1" max="1" width="3.86328125" bestFit="1" customWidth="1"/>
    <col min="2" max="2" width="15.1328125" bestFit="1" customWidth="1"/>
    <col min="4" max="4" width="22.265625" bestFit="1" customWidth="1"/>
    <col min="5" max="5" width="6.3984375" bestFit="1" customWidth="1"/>
    <col min="7" max="7" width="14" bestFit="1" customWidth="1"/>
    <col min="8" max="8" width="5.86328125" bestFit="1" customWidth="1"/>
    <col min="10" max="10" width="10.73046875" bestFit="1" customWidth="1"/>
    <col min="12" max="12" width="9.59765625" bestFit="1" customWidth="1"/>
    <col min="14" max="14" width="18.3984375" bestFit="1" customWidth="1"/>
  </cols>
  <sheetData>
    <row r="1" spans="1:14" x14ac:dyDescent="0.45">
      <c r="A1" s="37" t="s">
        <v>0</v>
      </c>
      <c r="B1" s="47" t="s">
        <v>1</v>
      </c>
      <c r="D1" s="48" t="s">
        <v>2</v>
      </c>
      <c r="E1" s="49" t="s">
        <v>3</v>
      </c>
      <c r="F1" s="23"/>
      <c r="G1" s="48" t="s">
        <v>4</v>
      </c>
      <c r="H1" s="49" t="s">
        <v>3</v>
      </c>
      <c r="J1" s="50" t="s">
        <v>5</v>
      </c>
      <c r="L1" s="50" t="s">
        <v>6</v>
      </c>
      <c r="N1" s="50" t="s">
        <v>7</v>
      </c>
    </row>
    <row r="2" spans="1:14" x14ac:dyDescent="0.45">
      <c r="B2" s="22" t="s">
        <v>8</v>
      </c>
      <c r="D2" s="1" t="s">
        <v>9</v>
      </c>
      <c r="E2" s="7" t="s">
        <v>367</v>
      </c>
      <c r="G2" s="1" t="s">
        <v>10</v>
      </c>
      <c r="H2" s="7" t="s">
        <v>11</v>
      </c>
      <c r="J2" s="46" t="s">
        <v>12</v>
      </c>
      <c r="L2" s="51" t="s">
        <v>13</v>
      </c>
      <c r="N2" s="46" t="s">
        <v>14</v>
      </c>
    </row>
    <row r="3" spans="1:14" x14ac:dyDescent="0.45">
      <c r="B3" s="22" t="s">
        <v>407</v>
      </c>
      <c r="D3" s="9" t="s">
        <v>15</v>
      </c>
      <c r="E3" s="10" t="s">
        <v>368</v>
      </c>
      <c r="G3" s="9" t="s">
        <v>16</v>
      </c>
      <c r="H3" s="10" t="s">
        <v>335</v>
      </c>
      <c r="J3" s="22" t="s">
        <v>17</v>
      </c>
      <c r="L3" s="52" t="s">
        <v>18</v>
      </c>
      <c r="N3" s="46" t="s">
        <v>19</v>
      </c>
    </row>
    <row r="4" spans="1:14" x14ac:dyDescent="0.45">
      <c r="B4" s="22" t="s">
        <v>408</v>
      </c>
      <c r="D4" s="1" t="s">
        <v>20</v>
      </c>
      <c r="E4" s="7">
        <v>103</v>
      </c>
      <c r="G4" s="9" t="s">
        <v>331</v>
      </c>
      <c r="H4" s="10" t="s">
        <v>333</v>
      </c>
      <c r="N4" s="46" t="s">
        <v>21</v>
      </c>
    </row>
    <row r="5" spans="1:14" x14ac:dyDescent="0.45">
      <c r="B5" s="22" t="s">
        <v>409</v>
      </c>
      <c r="D5" s="9" t="s">
        <v>22</v>
      </c>
      <c r="E5" s="10">
        <v>104</v>
      </c>
      <c r="G5" s="9" t="s">
        <v>332</v>
      </c>
      <c r="H5" s="10" t="s">
        <v>334</v>
      </c>
      <c r="N5" s="46" t="s">
        <v>23</v>
      </c>
    </row>
    <row r="6" spans="1:14" x14ac:dyDescent="0.45">
      <c r="B6" s="22" t="s">
        <v>410</v>
      </c>
      <c r="D6" s="1" t="s">
        <v>24</v>
      </c>
      <c r="E6" s="7" t="s">
        <v>369</v>
      </c>
      <c r="G6" s="9" t="s">
        <v>336</v>
      </c>
      <c r="H6" s="10" t="s">
        <v>337</v>
      </c>
      <c r="N6" s="22" t="s">
        <v>25</v>
      </c>
    </row>
    <row r="7" spans="1:14" x14ac:dyDescent="0.45">
      <c r="B7" s="22" t="s">
        <v>411</v>
      </c>
      <c r="D7" s="9" t="s">
        <v>26</v>
      </c>
      <c r="E7" s="10" t="s">
        <v>370</v>
      </c>
      <c r="G7" s="9" t="s">
        <v>338</v>
      </c>
      <c r="H7" s="10" t="s">
        <v>339</v>
      </c>
    </row>
    <row r="8" spans="1:14" x14ac:dyDescent="0.45">
      <c r="B8" s="22" t="s">
        <v>475</v>
      </c>
      <c r="D8" s="1" t="s">
        <v>27</v>
      </c>
      <c r="E8" s="7" t="s">
        <v>371</v>
      </c>
      <c r="G8" s="9" t="s">
        <v>340</v>
      </c>
      <c r="H8" s="10" t="s">
        <v>341</v>
      </c>
    </row>
    <row r="9" spans="1:14" x14ac:dyDescent="0.45">
      <c r="D9" s="9" t="s">
        <v>28</v>
      </c>
      <c r="E9" s="10" t="s">
        <v>372</v>
      </c>
      <c r="G9" s="9" t="s">
        <v>342</v>
      </c>
      <c r="H9" s="10" t="s">
        <v>343</v>
      </c>
    </row>
    <row r="10" spans="1:14" x14ac:dyDescent="0.45">
      <c r="D10" s="1" t="s">
        <v>329</v>
      </c>
      <c r="E10" s="7" t="s">
        <v>373</v>
      </c>
      <c r="G10" s="9" t="s">
        <v>344</v>
      </c>
      <c r="H10" s="10" t="s">
        <v>346</v>
      </c>
    </row>
    <row r="11" spans="1:14" x14ac:dyDescent="0.45">
      <c r="D11" s="9" t="s">
        <v>330</v>
      </c>
      <c r="E11" s="10" t="s">
        <v>389</v>
      </c>
      <c r="G11" s="9" t="s">
        <v>345</v>
      </c>
      <c r="H11" s="10" t="s">
        <v>347</v>
      </c>
    </row>
    <row r="12" spans="1:14" x14ac:dyDescent="0.45">
      <c r="D12" s="1" t="s">
        <v>31</v>
      </c>
      <c r="E12" s="7" t="s">
        <v>388</v>
      </c>
      <c r="G12" s="9" t="s">
        <v>348</v>
      </c>
      <c r="H12" s="10" t="s">
        <v>349</v>
      </c>
    </row>
    <row r="13" spans="1:14" x14ac:dyDescent="0.45">
      <c r="D13" s="9" t="s">
        <v>356</v>
      </c>
      <c r="E13" s="10" t="s">
        <v>391</v>
      </c>
      <c r="G13" s="9" t="s">
        <v>350</v>
      </c>
      <c r="H13" s="10" t="s">
        <v>351</v>
      </c>
    </row>
    <row r="14" spans="1:14" x14ac:dyDescent="0.45">
      <c r="D14" s="1" t="s">
        <v>32</v>
      </c>
      <c r="E14" s="7" t="s">
        <v>398</v>
      </c>
      <c r="G14" s="9" t="s">
        <v>365</v>
      </c>
      <c r="H14" s="10" t="s">
        <v>366</v>
      </c>
    </row>
    <row r="15" spans="1:14" x14ac:dyDescent="0.45">
      <c r="D15" s="9" t="s">
        <v>33</v>
      </c>
      <c r="E15" s="10" t="s">
        <v>374</v>
      </c>
      <c r="G15" s="9" t="s">
        <v>381</v>
      </c>
      <c r="H15" s="10" t="s">
        <v>384</v>
      </c>
    </row>
    <row r="16" spans="1:14" x14ac:dyDescent="0.45">
      <c r="D16" s="1" t="s">
        <v>34</v>
      </c>
      <c r="E16" s="7">
        <v>115</v>
      </c>
      <c r="G16" s="9" t="s">
        <v>382</v>
      </c>
      <c r="H16" s="10" t="s">
        <v>383</v>
      </c>
    </row>
    <row r="17" spans="4:8" x14ac:dyDescent="0.45">
      <c r="D17" s="9" t="s">
        <v>35</v>
      </c>
      <c r="E17" s="10" t="s">
        <v>375</v>
      </c>
      <c r="G17" s="9" t="s">
        <v>386</v>
      </c>
      <c r="H17" s="10" t="s">
        <v>387</v>
      </c>
    </row>
    <row r="18" spans="4:8" x14ac:dyDescent="0.45">
      <c r="D18" s="1" t="s">
        <v>36</v>
      </c>
      <c r="E18" s="7" t="s">
        <v>376</v>
      </c>
      <c r="G18" s="9" t="s">
        <v>394</v>
      </c>
      <c r="H18" s="10" t="s">
        <v>395</v>
      </c>
    </row>
    <row r="19" spans="4:8" x14ac:dyDescent="0.45">
      <c r="D19" s="9" t="s">
        <v>37</v>
      </c>
      <c r="E19" s="10" t="s">
        <v>377</v>
      </c>
      <c r="G19" s="9" t="s">
        <v>396</v>
      </c>
      <c r="H19" s="10" t="s">
        <v>397</v>
      </c>
    </row>
    <row r="20" spans="4:8" x14ac:dyDescent="0.45">
      <c r="D20" s="1" t="s">
        <v>268</v>
      </c>
      <c r="E20" s="7" t="s">
        <v>378</v>
      </c>
      <c r="G20" s="9" t="s">
        <v>402</v>
      </c>
      <c r="H20" s="10" t="s">
        <v>403</v>
      </c>
    </row>
    <row r="21" spans="4:8" x14ac:dyDescent="0.45">
      <c r="D21" s="9" t="s">
        <v>325</v>
      </c>
      <c r="E21" s="10" t="s">
        <v>385</v>
      </c>
      <c r="G21" s="9" t="s">
        <v>405</v>
      </c>
      <c r="H21" s="10" t="s">
        <v>406</v>
      </c>
    </row>
    <row r="22" spans="4:8" x14ac:dyDescent="0.45">
      <c r="D22" s="1" t="s">
        <v>326</v>
      </c>
      <c r="E22" s="7" t="s">
        <v>326</v>
      </c>
      <c r="G22" s="1" t="s">
        <v>417</v>
      </c>
      <c r="H22" s="7" t="s">
        <v>418</v>
      </c>
    </row>
    <row r="23" spans="4:8" x14ac:dyDescent="0.45">
      <c r="D23" s="9" t="s">
        <v>327</v>
      </c>
      <c r="E23" s="10" t="s">
        <v>379</v>
      </c>
      <c r="G23" s="1" t="s">
        <v>419</v>
      </c>
      <c r="H23" s="7" t="s">
        <v>420</v>
      </c>
    </row>
    <row r="24" spans="4:8" x14ac:dyDescent="0.45">
      <c r="D24" s="1" t="s">
        <v>328</v>
      </c>
      <c r="E24" s="7">
        <v>123</v>
      </c>
      <c r="G24" s="9" t="s">
        <v>421</v>
      </c>
      <c r="H24" s="10" t="s">
        <v>422</v>
      </c>
    </row>
    <row r="25" spans="4:8" x14ac:dyDescent="0.45">
      <c r="D25" s="9" t="s">
        <v>357</v>
      </c>
      <c r="E25" s="10">
        <v>124</v>
      </c>
      <c r="G25" s="9" t="s">
        <v>424</v>
      </c>
      <c r="H25" s="10" t="s">
        <v>425</v>
      </c>
    </row>
    <row r="26" spans="4:8" x14ac:dyDescent="0.45">
      <c r="D26" s="1" t="s">
        <v>358</v>
      </c>
      <c r="E26" s="7">
        <v>125</v>
      </c>
      <c r="G26" s="9" t="s">
        <v>437</v>
      </c>
      <c r="H26" s="10" t="s">
        <v>438</v>
      </c>
    </row>
    <row r="27" spans="4:8" x14ac:dyDescent="0.45">
      <c r="D27" s="9" t="s">
        <v>359</v>
      </c>
      <c r="E27" s="10" t="s">
        <v>399</v>
      </c>
      <c r="G27" s="9" t="s">
        <v>439</v>
      </c>
      <c r="H27" s="10" t="s">
        <v>440</v>
      </c>
    </row>
    <row r="28" spans="4:8" x14ac:dyDescent="0.45">
      <c r="D28" s="1" t="s">
        <v>360</v>
      </c>
      <c r="E28" s="7" t="s">
        <v>380</v>
      </c>
    </row>
    <row r="29" spans="4:8" x14ac:dyDescent="0.45">
      <c r="D29" s="9" t="s">
        <v>361</v>
      </c>
      <c r="E29" s="10">
        <v>128</v>
      </c>
    </row>
    <row r="30" spans="4:8" x14ac:dyDescent="0.45">
      <c r="D30" s="1" t="s">
        <v>362</v>
      </c>
      <c r="E30" s="7" t="s">
        <v>362</v>
      </c>
    </row>
    <row r="31" spans="4:8" x14ac:dyDescent="0.45">
      <c r="D31" s="1" t="s">
        <v>392</v>
      </c>
      <c r="E31" s="10" t="s">
        <v>393</v>
      </c>
    </row>
    <row r="32" spans="4:8" x14ac:dyDescent="0.45">
      <c r="D32" s="1" t="s">
        <v>363</v>
      </c>
      <c r="E32" s="7">
        <v>131</v>
      </c>
    </row>
    <row r="33" spans="4:5" x14ac:dyDescent="0.45">
      <c r="D33" s="9" t="s">
        <v>364</v>
      </c>
      <c r="E33" s="10">
        <v>132</v>
      </c>
    </row>
    <row r="34" spans="4:5" x14ac:dyDescent="0.45">
      <c r="D34" s="1" t="s">
        <v>461</v>
      </c>
      <c r="E34" s="7" t="s">
        <v>390</v>
      </c>
    </row>
    <row r="35" spans="4:5" x14ac:dyDescent="0.45">
      <c r="D35" s="1" t="s">
        <v>413</v>
      </c>
      <c r="E35" s="7" t="s">
        <v>413</v>
      </c>
    </row>
    <row r="36" spans="4:5" x14ac:dyDescent="0.45">
      <c r="D36" s="1" t="s">
        <v>414</v>
      </c>
      <c r="E36" s="7" t="s">
        <v>415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2"/>
  <sheetViews>
    <sheetView tabSelected="1" zoomScale="97" zoomScaleNormal="100" workbookViewId="0">
      <pane ySplit="1" topLeftCell="A2" activePane="bottomLeft" state="frozen"/>
      <selection activeCell="E936" sqref="E936"/>
      <selection pane="bottomLeft" activeCell="B3" sqref="B3"/>
    </sheetView>
  </sheetViews>
  <sheetFormatPr defaultColWidth="17.1328125" defaultRowHeight="14.25" x14ac:dyDescent="0.45"/>
  <cols>
    <col min="1" max="1" width="7.46484375" style="33" bestFit="1" customWidth="1"/>
    <col min="2" max="2" width="9.59765625" style="24" bestFit="1" customWidth="1"/>
    <col min="3" max="3" width="15.59765625" style="61" bestFit="1" customWidth="1"/>
    <col min="4" max="4" width="15" style="42" bestFit="1" customWidth="1"/>
    <col min="5" max="5" width="13.86328125" style="24" bestFit="1" customWidth="1"/>
    <col min="6" max="6" width="14" style="14" bestFit="1" customWidth="1"/>
    <col min="7" max="7" width="18.1328125" bestFit="1" customWidth="1"/>
    <col min="8" max="8" width="16.3984375" style="14" bestFit="1" customWidth="1"/>
    <col min="9" max="9" width="17.3984375" bestFit="1" customWidth="1"/>
    <col min="10" max="10" width="32.46484375" style="24" bestFit="1" customWidth="1"/>
    <col min="11" max="11" width="20" style="24" bestFit="1" customWidth="1"/>
    <col min="12" max="12" width="20.59765625" style="14" bestFit="1" customWidth="1"/>
    <col min="13" max="13" width="19.796875" style="14" bestFit="1" customWidth="1"/>
    <col min="14" max="14" width="17.1328125" style="14"/>
    <col min="15" max="15" width="17.19921875" style="14" bestFit="1" customWidth="1"/>
    <col min="16" max="16384" width="17.1328125" style="14"/>
  </cols>
  <sheetData>
    <row r="1" spans="1:15" s="30" customFormat="1" ht="28.5" x14ac:dyDescent="0.45">
      <c r="A1" s="29" t="s">
        <v>38</v>
      </c>
      <c r="B1" s="43" t="s">
        <v>39</v>
      </c>
      <c r="C1" s="64" t="s">
        <v>354</v>
      </c>
      <c r="D1" s="63" t="s">
        <v>353</v>
      </c>
      <c r="E1" s="25" t="s">
        <v>40</v>
      </c>
      <c r="F1" s="25" t="s">
        <v>41</v>
      </c>
      <c r="G1" s="34" t="s">
        <v>42</v>
      </c>
      <c r="H1" s="25" t="s">
        <v>2</v>
      </c>
      <c r="I1" s="34" t="s">
        <v>43</v>
      </c>
      <c r="J1" s="55" t="s">
        <v>355</v>
      </c>
      <c r="K1" s="35" t="s">
        <v>44</v>
      </c>
      <c r="L1" s="58" t="s">
        <v>352</v>
      </c>
      <c r="M1" s="58" t="s">
        <v>400</v>
      </c>
      <c r="N1" s="58" t="s">
        <v>401</v>
      </c>
      <c r="O1" s="58" t="s">
        <v>412</v>
      </c>
    </row>
    <row r="2" spans="1:15" x14ac:dyDescent="0.45">
      <c r="A2" s="31">
        <f>ROW(Table1[[#This Row],[Product 
Serial Number]])-ROW(Table1[[#Headers],[URN]])</f>
        <v>1</v>
      </c>
      <c r="B2" s="44">
        <f>ROW(Table1[[#This Row],[Product 
Serial Number]])-ROW(Table1[[#Headers],[URN]])+999</f>
        <v>1000</v>
      </c>
      <c r="C2" s="65">
        <v>45887</v>
      </c>
      <c r="D2" s="36">
        <f>YEAR(Table1[[#This Row],[Date of 
Acquisition]])</f>
        <v>2025</v>
      </c>
      <c r="E2" s="27" t="s">
        <v>8</v>
      </c>
      <c r="F2" s="27" t="s">
        <v>437</v>
      </c>
      <c r="G2" s="1" t="str">
        <f>VLOOKUP(F2,Validations!$G$2:$H$27,2,0)</f>
        <v>NDT</v>
      </c>
      <c r="H2" s="27" t="s">
        <v>356</v>
      </c>
      <c r="I2" s="31" t="str">
        <f>VLOOKUP(H2,Validations!$D$2:$E$36,2,0)</f>
        <v>BIO</v>
      </c>
      <c r="J2" s="66" t="s">
        <v>442</v>
      </c>
      <c r="K2" s="1" t="str">
        <f t="shared" ref="K2:K51" si="0">IF(ISLOGICAL(C2),0,(E2&amp;I2&amp;B2))</f>
        <v>MCFLBIO1000</v>
      </c>
      <c r="L2" s="14" t="s">
        <v>433</v>
      </c>
      <c r="M2" s="14" t="s">
        <v>404</v>
      </c>
    </row>
    <row r="3" spans="1:15" x14ac:dyDescent="0.45">
      <c r="A3" s="32">
        <f>ROW(Table1[[#This Row],[Product 
Serial Number]])-ROW(Table1[[#Headers],[URN]])</f>
        <v>2</v>
      </c>
      <c r="B3" s="44">
        <f>ROW(Table1[[#This Row],[Product 
Serial Number]])-ROW(Table1[[#Headers],[URN]])+999</f>
        <v>1001</v>
      </c>
      <c r="C3" s="65">
        <v>45887</v>
      </c>
      <c r="D3" s="36">
        <f>YEAR(Table1[[#This Row],[Date of 
Acquisition]])</f>
        <v>2025</v>
      </c>
      <c r="E3" s="27" t="s">
        <v>8</v>
      </c>
      <c r="F3" s="27" t="s">
        <v>437</v>
      </c>
      <c r="G3" s="1" t="str">
        <f>VLOOKUP(F3,Validations!$G$2:$H$27,2,0)</f>
        <v>NDT</v>
      </c>
      <c r="H3" s="27" t="s">
        <v>356</v>
      </c>
      <c r="I3" s="31" t="str">
        <f>VLOOKUP(H3,Validations!$D$2:$E$36,2,0)</f>
        <v>BIO</v>
      </c>
      <c r="J3" s="66" t="s">
        <v>443</v>
      </c>
      <c r="K3" s="1" t="str">
        <f t="shared" si="0"/>
        <v>MCFLBIO1001</v>
      </c>
      <c r="L3" s="14" t="s">
        <v>433</v>
      </c>
      <c r="M3" s="14" t="s">
        <v>404</v>
      </c>
    </row>
    <row r="4" spans="1:15" x14ac:dyDescent="0.45">
      <c r="A4" s="32">
        <f>ROW(Table1[[#This Row],[Product 
Serial Number]])-ROW(Table1[[#Headers],[URN]])</f>
        <v>3</v>
      </c>
      <c r="B4" s="44">
        <f>ROW(Table1[[#This Row],[Product 
Serial Number]])-ROW(Table1[[#Headers],[URN]])+999</f>
        <v>1002</v>
      </c>
      <c r="C4" s="65">
        <v>45887</v>
      </c>
      <c r="D4" s="36">
        <f>YEAR(Table1[[#This Row],[Date of 
Acquisition]])</f>
        <v>2025</v>
      </c>
      <c r="E4" s="27" t="s">
        <v>8</v>
      </c>
      <c r="F4" s="27" t="s">
        <v>437</v>
      </c>
      <c r="G4" s="1" t="str">
        <f>VLOOKUP(F4,Validations!$G$2:$H$27,2,0)</f>
        <v>NDT</v>
      </c>
      <c r="H4" s="27" t="s">
        <v>461</v>
      </c>
      <c r="I4" s="31" t="str">
        <f>VLOOKUP(H4,Validations!$D$2:$E$36,2,0)</f>
        <v>AS</v>
      </c>
      <c r="J4" s="66" t="s">
        <v>444</v>
      </c>
      <c r="K4" s="1" t="str">
        <f t="shared" si="0"/>
        <v>MCFLAS1002</v>
      </c>
      <c r="L4" s="14" t="s">
        <v>433</v>
      </c>
      <c r="M4" s="14" t="s">
        <v>404</v>
      </c>
    </row>
    <row r="5" spans="1:15" x14ac:dyDescent="0.45">
      <c r="A5" s="32">
        <f>ROW(Table1[[#This Row],[Product 
Serial Number]])-ROW(Table1[[#Headers],[URN]])</f>
        <v>4</v>
      </c>
      <c r="B5" s="44">
        <f>ROW(Table1[[#This Row],[Product 
Serial Number]])-ROW(Table1[[#Headers],[URN]])+999</f>
        <v>1003</v>
      </c>
      <c r="C5" s="65">
        <v>45882</v>
      </c>
      <c r="D5" s="36">
        <f>YEAR(Table1[[#This Row],[Date of 
Acquisition]])</f>
        <v>2025</v>
      </c>
      <c r="E5" s="27" t="s">
        <v>8</v>
      </c>
      <c r="F5" s="27" t="s">
        <v>437</v>
      </c>
      <c r="G5" s="1" t="str">
        <f>VLOOKUP(F5,Validations!$G$2:$H$27,2,0)</f>
        <v>NDT</v>
      </c>
      <c r="H5" s="27" t="s">
        <v>330</v>
      </c>
      <c r="I5" s="31" t="str">
        <f>VLOOKUP(H5,Validations!$D$2:$E$36,2,0)</f>
        <v>CAM</v>
      </c>
      <c r="J5" t="s">
        <v>448</v>
      </c>
      <c r="K5" s="1" t="str">
        <f t="shared" si="0"/>
        <v>MCFLCAM1003</v>
      </c>
      <c r="L5" s="14" t="s">
        <v>433</v>
      </c>
      <c r="M5" s="14" t="s">
        <v>423</v>
      </c>
    </row>
    <row r="6" spans="1:15" x14ac:dyDescent="0.45">
      <c r="A6" s="32">
        <f>ROW(Table1[[#This Row],[Product 
Serial Number]])-ROW(Table1[[#Headers],[URN]])</f>
        <v>5</v>
      </c>
      <c r="B6" s="44">
        <f>ROW(Table1[[#This Row],[Product 
Serial Number]])-ROW(Table1[[#Headers],[URN]])+999</f>
        <v>1004</v>
      </c>
      <c r="C6" s="65">
        <v>45882</v>
      </c>
      <c r="D6" s="36">
        <f>YEAR(Table1[[#This Row],[Date of 
Acquisition]])</f>
        <v>2025</v>
      </c>
      <c r="E6" s="27" t="s">
        <v>8</v>
      </c>
      <c r="F6" s="27" t="s">
        <v>437</v>
      </c>
      <c r="G6" s="1" t="str">
        <f>VLOOKUP(F6,Validations!$G$2:$H$27,2,0)</f>
        <v>NDT</v>
      </c>
      <c r="H6" s="27" t="s">
        <v>330</v>
      </c>
      <c r="I6" s="31" t="str">
        <f>VLOOKUP(H6,Validations!$D$2:$E$36,2,0)</f>
        <v>CAM</v>
      </c>
      <c r="J6" t="s">
        <v>453</v>
      </c>
      <c r="K6" s="1" t="str">
        <f t="shared" si="0"/>
        <v>MCFLCAM1004</v>
      </c>
      <c r="L6" s="14" t="s">
        <v>433</v>
      </c>
      <c r="M6" s="14" t="s">
        <v>423</v>
      </c>
    </row>
    <row r="7" spans="1:15" x14ac:dyDescent="0.45">
      <c r="A7" s="32">
        <f>ROW(Table1[[#This Row],[Product 
Serial Number]])-ROW(Table1[[#Headers],[URN]])</f>
        <v>6</v>
      </c>
      <c r="B7" s="44">
        <f>ROW(Table1[[#This Row],[Product 
Serial Number]])-ROW(Table1[[#Headers],[URN]])+999</f>
        <v>1005</v>
      </c>
      <c r="C7" s="65">
        <v>45882</v>
      </c>
      <c r="D7" s="36">
        <f>YEAR(Table1[[#This Row],[Date of 
Acquisition]])</f>
        <v>2025</v>
      </c>
      <c r="E7" s="27" t="s">
        <v>8</v>
      </c>
      <c r="F7" s="27" t="s">
        <v>437</v>
      </c>
      <c r="G7" s="1" t="str">
        <f>VLOOKUP(F7,Validations!$G$2:$H$27,2,0)</f>
        <v>NDT</v>
      </c>
      <c r="H7" s="27" t="s">
        <v>330</v>
      </c>
      <c r="I7" s="31" t="str">
        <f>VLOOKUP(H7,Validations!$D$2:$E$36,2,0)</f>
        <v>CAM</v>
      </c>
      <c r="J7" t="s">
        <v>449</v>
      </c>
      <c r="K7" s="1" t="str">
        <f t="shared" si="0"/>
        <v>MCFLCAM1005</v>
      </c>
      <c r="L7" s="14" t="s">
        <v>433</v>
      </c>
      <c r="M7" s="14" t="s">
        <v>423</v>
      </c>
    </row>
    <row r="8" spans="1:15" x14ac:dyDescent="0.45">
      <c r="A8" s="32">
        <f>ROW(Table1[[#This Row],[Product 
Serial Number]])-ROW(Table1[[#Headers],[URN]])</f>
        <v>7</v>
      </c>
      <c r="B8" s="44">
        <f>ROW(Table1[[#This Row],[Product 
Serial Number]])-ROW(Table1[[#Headers],[URN]])+999</f>
        <v>1006</v>
      </c>
      <c r="C8" s="65">
        <v>45882</v>
      </c>
      <c r="D8" s="36">
        <f>YEAR(Table1[[#This Row],[Date of 
Acquisition]])</f>
        <v>2025</v>
      </c>
      <c r="E8" s="27" t="s">
        <v>8</v>
      </c>
      <c r="F8" s="27" t="s">
        <v>437</v>
      </c>
      <c r="G8" s="1" t="str">
        <f>VLOOKUP(F8,Validations!$G$2:$H$27,2,0)</f>
        <v>NDT</v>
      </c>
      <c r="H8" s="27" t="s">
        <v>330</v>
      </c>
      <c r="I8" s="31" t="str">
        <f>VLOOKUP(H8,Validations!$D$2:$E$36,2,0)</f>
        <v>CAM</v>
      </c>
      <c r="J8" t="s">
        <v>450</v>
      </c>
      <c r="K8" s="1" t="str">
        <f t="shared" si="0"/>
        <v>MCFLCAM1006</v>
      </c>
      <c r="L8" s="14" t="s">
        <v>433</v>
      </c>
      <c r="M8" s="14" t="s">
        <v>423</v>
      </c>
    </row>
    <row r="9" spans="1:15" x14ac:dyDescent="0.45">
      <c r="A9" s="32">
        <f>ROW(Table1[[#This Row],[Product 
Serial Number]])-ROW(Table1[[#Headers],[URN]])</f>
        <v>8</v>
      </c>
      <c r="B9" s="44">
        <f>ROW(Table1[[#This Row],[Product 
Serial Number]])-ROW(Table1[[#Headers],[URN]])+999</f>
        <v>1007</v>
      </c>
      <c r="C9" s="65">
        <v>45882</v>
      </c>
      <c r="D9" s="36">
        <f>YEAR(Table1[[#This Row],[Date of 
Acquisition]])</f>
        <v>2025</v>
      </c>
      <c r="E9" s="27" t="s">
        <v>8</v>
      </c>
      <c r="F9" s="27" t="s">
        <v>437</v>
      </c>
      <c r="G9" s="1" t="str">
        <f>VLOOKUP(F9,Validations!$G$2:$H$27,2,0)</f>
        <v>NDT</v>
      </c>
      <c r="H9" s="27" t="s">
        <v>330</v>
      </c>
      <c r="I9" s="31" t="str">
        <f>VLOOKUP(H9,Validations!$D$2:$E$36,2,0)</f>
        <v>CAM</v>
      </c>
      <c r="J9" t="s">
        <v>451</v>
      </c>
      <c r="K9" s="1" t="str">
        <f t="shared" si="0"/>
        <v>MCFLCAM1007</v>
      </c>
      <c r="L9" s="14" t="s">
        <v>433</v>
      </c>
      <c r="M9" s="14" t="s">
        <v>423</v>
      </c>
    </row>
    <row r="10" spans="1:15" x14ac:dyDescent="0.45">
      <c r="A10" s="32">
        <f>ROW(Table1[[#This Row],[Product 
Serial Number]])-ROW(Table1[[#Headers],[URN]])</f>
        <v>9</v>
      </c>
      <c r="B10" s="44">
        <f>ROW(Table1[[#This Row],[Product 
Serial Number]])-ROW(Table1[[#Headers],[URN]])+999</f>
        <v>1008</v>
      </c>
      <c r="C10" s="65">
        <v>45882</v>
      </c>
      <c r="D10" s="36">
        <f>YEAR(Table1[[#This Row],[Date of 
Acquisition]])</f>
        <v>2025</v>
      </c>
      <c r="E10" s="27" t="s">
        <v>8</v>
      </c>
      <c r="F10" s="27" t="s">
        <v>437</v>
      </c>
      <c r="G10" s="1" t="str">
        <f>VLOOKUP(F10,Validations!$G$2:$H$27,2,0)</f>
        <v>NDT</v>
      </c>
      <c r="H10" s="27" t="s">
        <v>330</v>
      </c>
      <c r="I10" s="31" t="str">
        <f>VLOOKUP(H10,Validations!$D$2:$E$36,2,0)</f>
        <v>CAM</v>
      </c>
      <c r="J10" t="s">
        <v>452</v>
      </c>
      <c r="K10" s="1" t="str">
        <f t="shared" si="0"/>
        <v>MCFLCAM1008</v>
      </c>
      <c r="L10" s="14" t="s">
        <v>433</v>
      </c>
      <c r="M10" s="14" t="s">
        <v>423</v>
      </c>
    </row>
    <row r="11" spans="1:15" x14ac:dyDescent="0.45">
      <c r="A11" s="32">
        <f>ROW(Table1[[#This Row],[Product 
Serial Number]])-ROW(Table1[[#Headers],[URN]])</f>
        <v>10</v>
      </c>
      <c r="B11" s="44">
        <f>ROW(Table1[[#This Row],[Product 
Serial Number]])-ROW(Table1[[#Headers],[URN]])+999</f>
        <v>1009</v>
      </c>
      <c r="C11" s="65">
        <v>45882</v>
      </c>
      <c r="D11" s="36">
        <f>YEAR(Table1[[#This Row],[Date of 
Acquisition]])</f>
        <v>2025</v>
      </c>
      <c r="E11" s="27" t="s">
        <v>8</v>
      </c>
      <c r="F11" s="27" t="s">
        <v>437</v>
      </c>
      <c r="G11" s="1" t="str">
        <f>VLOOKUP(F11,Validations!$G$2:$H$27,2,0)</f>
        <v>NDT</v>
      </c>
      <c r="H11" s="27" t="s">
        <v>330</v>
      </c>
      <c r="I11" s="31" t="str">
        <f>VLOOKUP(H11,Validations!$D$2:$E$36,2,0)</f>
        <v>CAM</v>
      </c>
      <c r="J11" t="s">
        <v>454</v>
      </c>
      <c r="K11" s="1" t="str">
        <f t="shared" si="0"/>
        <v>MCFLCAM1009</v>
      </c>
      <c r="L11" s="14" t="s">
        <v>433</v>
      </c>
      <c r="M11" s="14" t="s">
        <v>423</v>
      </c>
    </row>
    <row r="12" spans="1:15" x14ac:dyDescent="0.45">
      <c r="A12" s="32">
        <f>ROW(Table1[[#This Row],[Product 
Serial Number]])-ROW(Table1[[#Headers],[URN]])</f>
        <v>11</v>
      </c>
      <c r="B12" s="44">
        <f>ROW(Table1[[#This Row],[Product 
Serial Number]])-ROW(Table1[[#Headers],[URN]])+999</f>
        <v>1010</v>
      </c>
      <c r="C12" s="65">
        <v>45882</v>
      </c>
      <c r="D12" s="36">
        <f>YEAR(Table1[[#This Row],[Date of 
Acquisition]])</f>
        <v>2025</v>
      </c>
      <c r="E12" s="27" t="s">
        <v>8</v>
      </c>
      <c r="F12" s="27" t="s">
        <v>437</v>
      </c>
      <c r="G12" s="1" t="str">
        <f>VLOOKUP(F12,Validations!$G$2:$H$27,2,0)</f>
        <v>NDT</v>
      </c>
      <c r="H12" s="27" t="s">
        <v>330</v>
      </c>
      <c r="I12" s="31" t="str">
        <f>VLOOKUP(H12,Validations!$D$2:$E$36,2,0)</f>
        <v>CAM</v>
      </c>
      <c r="J12" t="s">
        <v>455</v>
      </c>
      <c r="K12" s="1" t="str">
        <f t="shared" si="0"/>
        <v>MCFLCAM1010</v>
      </c>
      <c r="L12" s="14" t="s">
        <v>433</v>
      </c>
      <c r="M12" s="14" t="s">
        <v>423</v>
      </c>
    </row>
    <row r="13" spans="1:15" x14ac:dyDescent="0.45">
      <c r="A13" s="32">
        <f>ROW(Table1[[#This Row],[Product 
Serial Number]])-ROW(Table1[[#Headers],[URN]])</f>
        <v>12</v>
      </c>
      <c r="B13" s="44">
        <f>ROW(Table1[[#This Row],[Product 
Serial Number]])-ROW(Table1[[#Headers],[URN]])+999</f>
        <v>1011</v>
      </c>
      <c r="C13" s="65">
        <v>45883</v>
      </c>
      <c r="D13" s="36">
        <f>YEAR(Table1[[#This Row],[Date of 
Acquisition]])</f>
        <v>2025</v>
      </c>
      <c r="E13" s="27" t="s">
        <v>8</v>
      </c>
      <c r="F13" s="27" t="s">
        <v>437</v>
      </c>
      <c r="G13" s="1" t="str">
        <f>VLOOKUP(F13,Validations!$G$2:$H$27,2,0)</f>
        <v>NDT</v>
      </c>
      <c r="H13" s="27" t="s">
        <v>27</v>
      </c>
      <c r="I13" s="31" t="str">
        <f>VLOOKUP(H13,Validations!$D$2:$E$36,2,0)</f>
        <v>PRI</v>
      </c>
      <c r="J13" t="s">
        <v>447</v>
      </c>
      <c r="K13" s="1" t="str">
        <f t="shared" si="0"/>
        <v>MCFLPRI1011</v>
      </c>
      <c r="L13" s="14" t="s">
        <v>433</v>
      </c>
      <c r="M13" s="14" t="s">
        <v>423</v>
      </c>
    </row>
    <row r="14" spans="1:15" x14ac:dyDescent="0.45">
      <c r="A14" s="32">
        <f>ROW(Table1[[#This Row],[Product 
Serial Number]])-ROW(Table1[[#Headers],[URN]])</f>
        <v>13</v>
      </c>
      <c r="B14" s="44">
        <f>ROW(Table1[[#This Row],[Product 
Serial Number]])-ROW(Table1[[#Headers],[URN]])+999</f>
        <v>1012</v>
      </c>
      <c r="C14" s="65">
        <v>45882</v>
      </c>
      <c r="D14" s="36">
        <f>YEAR(Table1[[#This Row],[Date of 
Acquisition]])</f>
        <v>2025</v>
      </c>
      <c r="E14" s="27" t="s">
        <v>8</v>
      </c>
      <c r="F14" s="27" t="s">
        <v>437</v>
      </c>
      <c r="G14" s="1" t="str">
        <f>VLOOKUP(F14,Validations!$G$2:$H$27,2,0)</f>
        <v>NDT</v>
      </c>
      <c r="H14" s="27" t="s">
        <v>35</v>
      </c>
      <c r="I14" s="31" t="str">
        <f>VLOOKUP(H14,Validations!$D$2:$E$36,2,0)</f>
        <v>SWI</v>
      </c>
      <c r="J14" t="s">
        <v>445</v>
      </c>
      <c r="K14" s="1" t="str">
        <f t="shared" si="0"/>
        <v>MCFLSWI1012</v>
      </c>
      <c r="L14" s="14" t="s">
        <v>433</v>
      </c>
      <c r="M14" s="14" t="s">
        <v>423</v>
      </c>
    </row>
    <row r="15" spans="1:15" x14ac:dyDescent="0.45">
      <c r="A15" s="32">
        <f>ROW(Table1[[#This Row],[Product 
Serial Number]])-ROW(Table1[[#Headers],[URN]])</f>
        <v>14</v>
      </c>
      <c r="B15" s="44">
        <f>ROW(Table1[[#This Row],[Product 
Serial Number]])-ROW(Table1[[#Headers],[URN]])+999</f>
        <v>1013</v>
      </c>
      <c r="C15" s="65">
        <v>45882</v>
      </c>
      <c r="D15" s="36">
        <f>YEAR(Table1[[#This Row],[Date of 
Acquisition]])</f>
        <v>2025</v>
      </c>
      <c r="E15" s="27" t="s">
        <v>8</v>
      </c>
      <c r="F15" s="27" t="s">
        <v>437</v>
      </c>
      <c r="G15" s="1" t="str">
        <f>VLOOKUP(F15,Validations!$G$2:$H$27,2,0)</f>
        <v>NDT</v>
      </c>
      <c r="H15" s="27" t="s">
        <v>35</v>
      </c>
      <c r="I15" s="31" t="str">
        <f>VLOOKUP(H15,Validations!$D$2:$E$36,2,0)</f>
        <v>SWI</v>
      </c>
      <c r="J15" t="s">
        <v>446</v>
      </c>
      <c r="K15" s="1" t="str">
        <f t="shared" si="0"/>
        <v>MCFLSWI1013</v>
      </c>
      <c r="L15" s="14" t="s">
        <v>433</v>
      </c>
      <c r="M15" s="14" t="s">
        <v>423</v>
      </c>
    </row>
    <row r="16" spans="1:15" x14ac:dyDescent="0.45">
      <c r="A16" s="32">
        <f>ROW(Table1[[#This Row],[Product 
Serial Number]])-ROW(Table1[[#Headers],[URN]])</f>
        <v>15</v>
      </c>
      <c r="B16" s="44">
        <f>ROW(Table1[[#This Row],[Product 
Serial Number]])-ROW(Table1[[#Headers],[URN]])+999</f>
        <v>1014</v>
      </c>
      <c r="C16" s="65"/>
      <c r="D16" s="36">
        <f>YEAR(Table1[[#This Row],[Date of 
Acquisition]])</f>
        <v>1900</v>
      </c>
      <c r="E16" s="27" t="s">
        <v>8</v>
      </c>
      <c r="F16" s="27" t="s">
        <v>437</v>
      </c>
      <c r="G16" s="1" t="str">
        <f>VLOOKUP(F16,Validations!$G$2:$H$27,2,0)</f>
        <v>NDT</v>
      </c>
      <c r="H16" s="27" t="s">
        <v>329</v>
      </c>
      <c r="I16" s="31" t="str">
        <f>VLOOKUP(H16,Validations!$D$2:$E$36,2,0)</f>
        <v>MOB</v>
      </c>
      <c r="J16"/>
      <c r="K16" s="1" t="str">
        <f t="shared" si="0"/>
        <v>MCFLMOB1014</v>
      </c>
      <c r="L16" s="14" t="s">
        <v>433</v>
      </c>
    </row>
    <row r="17" spans="1:13" x14ac:dyDescent="0.45">
      <c r="A17" s="32">
        <f>ROW(Table1[[#This Row],[Product 
Serial Number]])-ROW(Table1[[#Headers],[URN]])</f>
        <v>16</v>
      </c>
      <c r="B17" s="44">
        <f>ROW(Table1[[#This Row],[Product 
Serial Number]])-ROW(Table1[[#Headers],[URN]])+999</f>
        <v>1015</v>
      </c>
      <c r="C17" s="65">
        <v>45887</v>
      </c>
      <c r="D17" s="36">
        <f>YEAR(Table1[[#This Row],[Date of 
Acquisition]])</f>
        <v>2025</v>
      </c>
      <c r="E17" s="27" t="s">
        <v>8</v>
      </c>
      <c r="F17" s="27" t="s">
        <v>439</v>
      </c>
      <c r="G17" s="1" t="str">
        <f>VLOOKUP(F17,Validations!$G$2:$H$27,2,0)</f>
        <v>KJT</v>
      </c>
      <c r="H17" s="27" t="s">
        <v>329</v>
      </c>
      <c r="I17" s="31" t="str">
        <f>VLOOKUP(H17,Validations!$D$2:$E$36,2,0)</f>
        <v>MOB</v>
      </c>
      <c r="J17" t="s">
        <v>459</v>
      </c>
      <c r="K17" s="1" t="str">
        <f t="shared" si="0"/>
        <v>MCFLMOB1015</v>
      </c>
      <c r="L17" s="14" t="s">
        <v>441</v>
      </c>
      <c r="M17" s="14" t="s">
        <v>416</v>
      </c>
    </row>
    <row r="18" spans="1:13" x14ac:dyDescent="0.45">
      <c r="A18" s="32">
        <f>ROW(Table1[[#This Row],[Product 
Serial Number]])-ROW(Table1[[#Headers],[URN]])</f>
        <v>17</v>
      </c>
      <c r="B18" s="44">
        <f>ROW(Table1[[#This Row],[Product 
Serial Number]])-ROW(Table1[[#Headers],[URN]])+999</f>
        <v>1016</v>
      </c>
      <c r="C18" s="65">
        <v>45890</v>
      </c>
      <c r="D18" s="36">
        <f>YEAR(Table1[[#This Row],[Date of 
Acquisition]])</f>
        <v>2025</v>
      </c>
      <c r="E18" s="27" t="s">
        <v>8</v>
      </c>
      <c r="F18" s="27" t="s">
        <v>439</v>
      </c>
      <c r="G18" s="1" t="str">
        <f>VLOOKUP(F18,Validations!$G$2:$H$27,2,0)</f>
        <v>KJT</v>
      </c>
      <c r="H18" s="27" t="s">
        <v>27</v>
      </c>
      <c r="I18" s="31" t="str">
        <f>VLOOKUP(H18,Validations!$D$2:$E$36,2,0)</f>
        <v>PRI</v>
      </c>
      <c r="J18" t="s">
        <v>460</v>
      </c>
      <c r="K18" s="1" t="str">
        <f t="shared" si="0"/>
        <v>MCFLPRI1016</v>
      </c>
      <c r="L18" s="14" t="s">
        <v>441</v>
      </c>
      <c r="M18" s="14" t="s">
        <v>404</v>
      </c>
    </row>
    <row r="19" spans="1:13" x14ac:dyDescent="0.45">
      <c r="A19" s="32">
        <f>ROW(Table1[[#This Row],[Product 
Serial Number]])-ROW(Table1[[#Headers],[URN]])</f>
        <v>18</v>
      </c>
      <c r="B19" s="44">
        <f>ROW(Table1[[#This Row],[Product 
Serial Number]])-ROW(Table1[[#Headers],[URN]])+999</f>
        <v>1017</v>
      </c>
      <c r="C19" s="65">
        <v>45887</v>
      </c>
      <c r="D19" s="36">
        <f>YEAR(Table1[[#This Row],[Date of 
Acquisition]])</f>
        <v>2025</v>
      </c>
      <c r="E19" s="27" t="s">
        <v>8</v>
      </c>
      <c r="F19" s="27" t="s">
        <v>439</v>
      </c>
      <c r="G19" s="1" t="str">
        <f>VLOOKUP(F19,Validations!$G$2:$H$27,2,0)</f>
        <v>KJT</v>
      </c>
      <c r="H19" s="27" t="s">
        <v>31</v>
      </c>
      <c r="I19" s="31" t="str">
        <f>VLOOKUP(H19,Validations!$D$2:$E$36,2,0)</f>
        <v>NVR</v>
      </c>
      <c r="J19" t="s">
        <v>465</v>
      </c>
      <c r="K19" s="1" t="str">
        <f t="shared" si="0"/>
        <v>MCFLNVR1017</v>
      </c>
      <c r="L19" s="14" t="s">
        <v>441</v>
      </c>
      <c r="M19" s="14" t="s">
        <v>404</v>
      </c>
    </row>
    <row r="20" spans="1:13" x14ac:dyDescent="0.45">
      <c r="A20" s="32">
        <f>ROW(Table1[[#This Row],[Product 
Serial Number]])-ROW(Table1[[#Headers],[URN]])</f>
        <v>19</v>
      </c>
      <c r="B20" s="44">
        <f>ROW(Table1[[#This Row],[Product 
Serial Number]])-ROW(Table1[[#Headers],[URN]])+999</f>
        <v>1018</v>
      </c>
      <c r="C20" s="65">
        <v>45887</v>
      </c>
      <c r="D20" s="36">
        <f>YEAR(Table1[[#This Row],[Date of 
Acquisition]])</f>
        <v>2025</v>
      </c>
      <c r="E20" s="27" t="s">
        <v>8</v>
      </c>
      <c r="F20" s="27" t="s">
        <v>439</v>
      </c>
      <c r="G20" s="1" t="str">
        <f>VLOOKUP(F20,Validations!$G$2:$H$27,2,0)</f>
        <v>KJT</v>
      </c>
      <c r="H20" s="27" t="s">
        <v>330</v>
      </c>
      <c r="I20" s="31" t="str">
        <f>VLOOKUP(H20,Validations!$D$2:$E$36,2,0)</f>
        <v>CAM</v>
      </c>
      <c r="J20" t="s">
        <v>466</v>
      </c>
      <c r="K20" s="1" t="str">
        <f t="shared" si="0"/>
        <v>MCFLCAM1018</v>
      </c>
      <c r="L20" s="14" t="s">
        <v>441</v>
      </c>
      <c r="M20" s="14" t="s">
        <v>404</v>
      </c>
    </row>
    <row r="21" spans="1:13" x14ac:dyDescent="0.45">
      <c r="A21" s="32">
        <f>ROW(Table1[[#This Row],[Product 
Serial Number]])-ROW(Table1[[#Headers],[URN]])</f>
        <v>20</v>
      </c>
      <c r="B21" s="44">
        <f>ROW(Table1[[#This Row],[Product 
Serial Number]])-ROW(Table1[[#Headers],[URN]])+999</f>
        <v>1019</v>
      </c>
      <c r="C21" s="65">
        <v>45887</v>
      </c>
      <c r="D21" s="36">
        <f>YEAR(Table1[[#This Row],[Date of 
Acquisition]])</f>
        <v>2025</v>
      </c>
      <c r="E21" s="27" t="s">
        <v>8</v>
      </c>
      <c r="F21" s="27" t="s">
        <v>439</v>
      </c>
      <c r="G21" s="1" t="str">
        <f>VLOOKUP(F21,Validations!$G$2:$H$27,2,0)</f>
        <v>KJT</v>
      </c>
      <c r="H21" s="27" t="s">
        <v>330</v>
      </c>
      <c r="I21" s="31" t="str">
        <f>VLOOKUP(H21,Validations!$D$2:$E$36,2,0)</f>
        <v>CAM</v>
      </c>
      <c r="J21" t="s">
        <v>468</v>
      </c>
      <c r="K21" s="1" t="str">
        <f t="shared" si="0"/>
        <v>MCFLCAM1019</v>
      </c>
      <c r="L21" s="14" t="s">
        <v>441</v>
      </c>
      <c r="M21" s="14" t="s">
        <v>404</v>
      </c>
    </row>
    <row r="22" spans="1:13" x14ac:dyDescent="0.45">
      <c r="A22" s="32">
        <f>ROW(Table1[[#This Row],[Product 
Serial Number]])-ROW(Table1[[#Headers],[URN]])</f>
        <v>21</v>
      </c>
      <c r="B22" s="44">
        <f>ROW(Table1[[#This Row],[Product 
Serial Number]])-ROW(Table1[[#Headers],[URN]])+999</f>
        <v>1020</v>
      </c>
      <c r="C22" s="65">
        <v>45887</v>
      </c>
      <c r="D22" s="36">
        <f>YEAR(Table1[[#This Row],[Date of 
Acquisition]])</f>
        <v>2025</v>
      </c>
      <c r="E22" s="27" t="s">
        <v>8</v>
      </c>
      <c r="F22" s="27" t="s">
        <v>439</v>
      </c>
      <c r="G22" s="1" t="str">
        <f>VLOOKUP(F22,Validations!$G$2:$H$27,2,0)</f>
        <v>KJT</v>
      </c>
      <c r="H22" s="27" t="s">
        <v>330</v>
      </c>
      <c r="I22" s="31" t="str">
        <f>VLOOKUP(H22,Validations!$D$2:$E$36,2,0)</f>
        <v>CAM</v>
      </c>
      <c r="J22" t="s">
        <v>467</v>
      </c>
      <c r="K22" s="1" t="str">
        <f t="shared" si="0"/>
        <v>MCFLCAM1020</v>
      </c>
      <c r="L22" s="14" t="s">
        <v>441</v>
      </c>
      <c r="M22" s="14" t="s">
        <v>404</v>
      </c>
    </row>
    <row r="23" spans="1:13" x14ac:dyDescent="0.45">
      <c r="A23" s="32">
        <f>ROW(Table1[[#This Row],[Product 
Serial Number]])-ROW(Table1[[#Headers],[URN]])</f>
        <v>22</v>
      </c>
      <c r="B23" s="44">
        <f>ROW(Table1[[#This Row],[Product 
Serial Number]])-ROW(Table1[[#Headers],[URN]])+999</f>
        <v>1021</v>
      </c>
      <c r="C23" s="65">
        <v>45887</v>
      </c>
      <c r="D23" s="36">
        <f>YEAR(Table1[[#This Row],[Date of 
Acquisition]])</f>
        <v>2025</v>
      </c>
      <c r="E23" s="27" t="s">
        <v>8</v>
      </c>
      <c r="F23" s="27" t="s">
        <v>439</v>
      </c>
      <c r="G23" s="1" t="str">
        <f>VLOOKUP(F23,Validations!$G$2:$H$27,2,0)</f>
        <v>KJT</v>
      </c>
      <c r="H23" s="27" t="s">
        <v>330</v>
      </c>
      <c r="I23" s="31" t="str">
        <f>VLOOKUP(H23,Validations!$D$2:$E$36,2,0)</f>
        <v>CAM</v>
      </c>
      <c r="J23" t="s">
        <v>469</v>
      </c>
      <c r="K23" s="1" t="str">
        <f t="shared" si="0"/>
        <v>MCFLCAM1021</v>
      </c>
      <c r="L23" s="14" t="s">
        <v>441</v>
      </c>
      <c r="M23" s="14" t="s">
        <v>404</v>
      </c>
    </row>
    <row r="24" spans="1:13" x14ac:dyDescent="0.45">
      <c r="A24" s="32">
        <f>ROW(Table1[[#This Row],[Product 
Serial Number]])-ROW(Table1[[#Headers],[URN]])</f>
        <v>23</v>
      </c>
      <c r="B24" s="44">
        <f>ROW(Table1[[#This Row],[Product 
Serial Number]])-ROW(Table1[[#Headers],[URN]])+999</f>
        <v>1022</v>
      </c>
      <c r="C24" s="65">
        <v>45887</v>
      </c>
      <c r="D24" s="36">
        <f>YEAR(Table1[[#This Row],[Date of 
Acquisition]])</f>
        <v>2025</v>
      </c>
      <c r="E24" s="27" t="s">
        <v>8</v>
      </c>
      <c r="F24" s="27" t="s">
        <v>439</v>
      </c>
      <c r="G24" s="1" t="str">
        <f>VLOOKUP(F24,Validations!$G$2:$H$27,2,0)</f>
        <v>KJT</v>
      </c>
      <c r="H24" s="27" t="s">
        <v>330</v>
      </c>
      <c r="I24" s="31" t="str">
        <f>VLOOKUP(H24,Validations!$D$2:$E$36,2,0)</f>
        <v>CAM</v>
      </c>
      <c r="J24" t="s">
        <v>470</v>
      </c>
      <c r="K24" s="1" t="str">
        <f t="shared" si="0"/>
        <v>MCFLCAM1022</v>
      </c>
      <c r="L24" s="14" t="s">
        <v>441</v>
      </c>
      <c r="M24" s="14" t="s">
        <v>404</v>
      </c>
    </row>
    <row r="25" spans="1:13" x14ac:dyDescent="0.45">
      <c r="A25" s="32">
        <f>ROW(Table1[[#This Row],[Product 
Serial Number]])-ROW(Table1[[#Headers],[URN]])</f>
        <v>24</v>
      </c>
      <c r="B25" s="44">
        <f>ROW(Table1[[#This Row],[Product 
Serial Number]])-ROW(Table1[[#Headers],[URN]])+999</f>
        <v>1023</v>
      </c>
      <c r="C25" s="65">
        <v>45887</v>
      </c>
      <c r="D25" s="36">
        <f>YEAR(Table1[[#This Row],[Date of 
Acquisition]])</f>
        <v>2025</v>
      </c>
      <c r="E25" s="27" t="s">
        <v>8</v>
      </c>
      <c r="F25" s="27" t="s">
        <v>439</v>
      </c>
      <c r="G25" s="1" t="str">
        <f>VLOOKUP(F25,Validations!$G$2:$H$27,2,0)</f>
        <v>KJT</v>
      </c>
      <c r="H25" s="27" t="s">
        <v>330</v>
      </c>
      <c r="I25" s="31" t="str">
        <f>VLOOKUP(H25,Validations!$D$2:$E$36,2,0)</f>
        <v>CAM</v>
      </c>
      <c r="J25" t="s">
        <v>471</v>
      </c>
      <c r="K25" s="1" t="str">
        <f t="shared" si="0"/>
        <v>MCFLCAM1023</v>
      </c>
      <c r="L25" s="14" t="s">
        <v>441</v>
      </c>
      <c r="M25" s="14" t="s">
        <v>404</v>
      </c>
    </row>
    <row r="26" spans="1:13" x14ac:dyDescent="0.45">
      <c r="A26" s="32">
        <f>ROW(Table1[[#This Row],[Product 
Serial Number]])-ROW(Table1[[#Headers],[URN]])</f>
        <v>25</v>
      </c>
      <c r="B26" s="44">
        <f>ROW(Table1[[#This Row],[Product 
Serial Number]])-ROW(Table1[[#Headers],[URN]])+999</f>
        <v>1024</v>
      </c>
      <c r="C26" s="65">
        <v>45887</v>
      </c>
      <c r="D26" s="36">
        <f>YEAR(Table1[[#This Row],[Date of 
Acquisition]])</f>
        <v>2025</v>
      </c>
      <c r="E26" s="27" t="s">
        <v>8</v>
      </c>
      <c r="F26" s="27" t="s">
        <v>439</v>
      </c>
      <c r="G26" s="1" t="str">
        <f>VLOOKUP(F26,Validations!$G$2:$H$27,2,0)</f>
        <v>KJT</v>
      </c>
      <c r="H26" s="27" t="s">
        <v>461</v>
      </c>
      <c r="I26" s="31" t="str">
        <f>VLOOKUP(H26,Validations!$D$2:$E$36,2,0)</f>
        <v>AS</v>
      </c>
      <c r="J26" t="s">
        <v>464</v>
      </c>
      <c r="K26" s="1" t="str">
        <f t="shared" si="0"/>
        <v>MCFLAS1024</v>
      </c>
      <c r="L26" s="14" t="s">
        <v>441</v>
      </c>
      <c r="M26" s="14" t="s">
        <v>404</v>
      </c>
    </row>
    <row r="27" spans="1:13" x14ac:dyDescent="0.45">
      <c r="A27" s="32">
        <f>ROW(Table1[[#This Row],[Product 
Serial Number]])-ROW(Table1[[#Headers],[URN]])</f>
        <v>26</v>
      </c>
      <c r="B27" s="44">
        <f>ROW(Table1[[#This Row],[Product 
Serial Number]])-ROW(Table1[[#Headers],[URN]])+999</f>
        <v>1025</v>
      </c>
      <c r="C27" s="65">
        <v>45887</v>
      </c>
      <c r="D27" s="36">
        <f>YEAR(Table1[[#This Row],[Date of 
Acquisition]])</f>
        <v>2025</v>
      </c>
      <c r="E27" s="27" t="s">
        <v>8</v>
      </c>
      <c r="F27" s="27" t="s">
        <v>439</v>
      </c>
      <c r="G27" s="1" t="str">
        <f>VLOOKUP(F27,Validations!$G$2:$H$27,2,0)</f>
        <v>KJT</v>
      </c>
      <c r="H27" s="27" t="s">
        <v>35</v>
      </c>
      <c r="I27" s="31" t="str">
        <f>VLOOKUP(H27,Validations!$D$2:$E$36,2,0)</f>
        <v>SWI</v>
      </c>
      <c r="J27" t="s">
        <v>473</v>
      </c>
      <c r="K27" s="1" t="str">
        <f t="shared" si="0"/>
        <v>MCFLSWI1025</v>
      </c>
      <c r="L27" s="14" t="s">
        <v>441</v>
      </c>
      <c r="M27" s="14" t="s">
        <v>404</v>
      </c>
    </row>
    <row r="28" spans="1:13" x14ac:dyDescent="0.45">
      <c r="A28" s="32">
        <f>ROW(Table1[[#This Row],[Product 
Serial Number]])-ROW(Table1[[#Headers],[URN]])</f>
        <v>27</v>
      </c>
      <c r="B28" s="44">
        <f>ROW(Table1[[#This Row],[Product 
Serial Number]])-ROW(Table1[[#Headers],[URN]])+999</f>
        <v>1026</v>
      </c>
      <c r="C28" s="65">
        <v>45887</v>
      </c>
      <c r="D28" s="36">
        <f>YEAR(Table1[[#This Row],[Date of 
Acquisition]])</f>
        <v>2025</v>
      </c>
      <c r="E28" s="27" t="s">
        <v>8</v>
      </c>
      <c r="F28" s="27" t="s">
        <v>439</v>
      </c>
      <c r="G28" s="1" t="str">
        <f>VLOOKUP(F28,Validations!$G$2:$H$27,2,0)</f>
        <v>KJT</v>
      </c>
      <c r="H28" s="27" t="s">
        <v>35</v>
      </c>
      <c r="I28" s="31" t="str">
        <f>VLOOKUP(H28,Validations!$D$2:$E$36,2,0)</f>
        <v>SWI</v>
      </c>
      <c r="J28" s="66" t="s">
        <v>472</v>
      </c>
      <c r="K28" s="1" t="str">
        <f t="shared" si="0"/>
        <v>MCFLSWI1026</v>
      </c>
      <c r="L28" s="14" t="s">
        <v>441</v>
      </c>
      <c r="M28" s="14" t="s">
        <v>404</v>
      </c>
    </row>
    <row r="29" spans="1:13" x14ac:dyDescent="0.45">
      <c r="A29" s="32">
        <f>ROW(Table1[[#This Row],[Product 
Serial Number]])-ROW(Table1[[#Headers],[URN]])</f>
        <v>28</v>
      </c>
      <c r="B29" s="44">
        <f>ROW(Table1[[#This Row],[Product 
Serial Number]])-ROW(Table1[[#Headers],[URN]])+999</f>
        <v>1027</v>
      </c>
      <c r="C29" s="65">
        <v>45887</v>
      </c>
      <c r="D29" s="36">
        <f>YEAR(Table1[[#This Row],[Date of 
Acquisition]])</f>
        <v>2025</v>
      </c>
      <c r="E29" s="27" t="s">
        <v>8</v>
      </c>
      <c r="F29" s="27" t="s">
        <v>439</v>
      </c>
      <c r="G29" s="1" t="str">
        <f>VLOOKUP(F29,Validations!$G$2:$H$27,2,0)</f>
        <v>KJT</v>
      </c>
      <c r="H29" s="27" t="s">
        <v>356</v>
      </c>
      <c r="I29" s="31" t="str">
        <f>VLOOKUP(H29,Validations!$D$2:$E$36,2,0)</f>
        <v>BIO</v>
      </c>
      <c r="J29" s="57" t="s">
        <v>462</v>
      </c>
      <c r="K29" s="1" t="str">
        <f t="shared" si="0"/>
        <v>MCFLBIO1027</v>
      </c>
      <c r="L29" s="14" t="s">
        <v>441</v>
      </c>
      <c r="M29" s="14" t="s">
        <v>404</v>
      </c>
    </row>
    <row r="30" spans="1:13" x14ac:dyDescent="0.45">
      <c r="A30" s="32">
        <f>ROW(Table1[[#This Row],[Product 
Serial Number]])-ROW(Table1[[#Headers],[URN]])</f>
        <v>29</v>
      </c>
      <c r="B30" s="44">
        <f>ROW(Table1[[#This Row],[Product 
Serial Number]])-ROW(Table1[[#Headers],[URN]])+999</f>
        <v>1028</v>
      </c>
      <c r="C30" s="65">
        <v>45887</v>
      </c>
      <c r="D30" s="36">
        <f>YEAR(Table1[[#This Row],[Date of 
Acquisition]])</f>
        <v>2025</v>
      </c>
      <c r="E30" s="27" t="s">
        <v>8</v>
      </c>
      <c r="F30" s="27" t="s">
        <v>439</v>
      </c>
      <c r="G30" s="1" t="str">
        <f>VLOOKUP(F30,Validations!$G$2:$H$27,2,0)</f>
        <v>KJT</v>
      </c>
      <c r="H30" s="27" t="s">
        <v>356</v>
      </c>
      <c r="I30" s="31" t="str">
        <f>VLOOKUP(H30,Validations!$D$2:$E$36,2,0)</f>
        <v>BIO</v>
      </c>
      <c r="J30" s="57" t="s">
        <v>463</v>
      </c>
      <c r="K30" s="1" t="str">
        <f t="shared" si="0"/>
        <v>MCFLBIO1028</v>
      </c>
      <c r="L30" s="14" t="s">
        <v>441</v>
      </c>
      <c r="M30" s="14" t="s">
        <v>404</v>
      </c>
    </row>
    <row r="31" spans="1:13" x14ac:dyDescent="0.45">
      <c r="A31" s="32">
        <f>ROW(Table1[[#This Row],[Product 
Serial Number]])-ROW(Table1[[#Headers],[URN]])</f>
        <v>30</v>
      </c>
      <c r="B31" s="44">
        <f>ROW(Table1[[#This Row],[Product 
Serial Number]])-ROW(Table1[[#Headers],[URN]])+999</f>
        <v>1029</v>
      </c>
      <c r="C31" s="65">
        <v>45887</v>
      </c>
      <c r="D31" s="36">
        <f>YEAR(Table1[[#This Row],[Date of 
Acquisition]])</f>
        <v>2025</v>
      </c>
      <c r="E31" s="27" t="s">
        <v>8</v>
      </c>
      <c r="F31" s="27" t="s">
        <v>439</v>
      </c>
      <c r="G31" s="1" t="str">
        <f>VLOOKUP(F31,Validations!$G$2:$H$27,2,0)</f>
        <v>KJT</v>
      </c>
      <c r="H31" s="27" t="s">
        <v>330</v>
      </c>
      <c r="I31" s="31" t="str">
        <f>VLOOKUP(H31,Validations!$D$2:$E$36,2,0)</f>
        <v>CAM</v>
      </c>
      <c r="J31" t="s">
        <v>474</v>
      </c>
      <c r="K31" s="1" t="str">
        <f t="shared" si="0"/>
        <v>MCFLCAM1029</v>
      </c>
      <c r="L31" s="14" t="s">
        <v>441</v>
      </c>
      <c r="M31" s="14" t="s">
        <v>404</v>
      </c>
    </row>
    <row r="32" spans="1:13" x14ac:dyDescent="0.45">
      <c r="A32" s="32">
        <f>ROW(Table1[[#This Row],[Product 
Serial Number]])-ROW(Table1[[#Headers],[URN]])</f>
        <v>31</v>
      </c>
      <c r="B32" s="44">
        <f>ROW(Table1[[#This Row],[Product 
Serial Number]])-ROW(Table1[[#Headers],[URN]])+999</f>
        <v>1030</v>
      </c>
      <c r="C32" s="65">
        <v>45882</v>
      </c>
      <c r="D32" s="36">
        <f>YEAR(Table1[[#This Row],[Date of 
Acquisition]])</f>
        <v>2025</v>
      </c>
      <c r="E32" s="27" t="s">
        <v>8</v>
      </c>
      <c r="F32" s="27" t="s">
        <v>437</v>
      </c>
      <c r="G32" s="1" t="str">
        <f>VLOOKUP(F32,Validations!$G$2:$H$27,2,0)</f>
        <v>NDT</v>
      </c>
      <c r="H32" s="27" t="s">
        <v>35</v>
      </c>
      <c r="I32" s="31" t="str">
        <f>VLOOKUP(H32,Validations!$D$2:$E$36,2,0)</f>
        <v>SWI</v>
      </c>
      <c r="J32"/>
      <c r="K32" s="1" t="str">
        <f t="shared" si="0"/>
        <v>MCFLSWI1030</v>
      </c>
      <c r="L32" s="14" t="s">
        <v>433</v>
      </c>
      <c r="M32" s="14" t="s">
        <v>423</v>
      </c>
    </row>
    <row r="33" spans="1:13" x14ac:dyDescent="0.45">
      <c r="A33" s="32">
        <f>ROW(Table1[[#This Row],[Product 
Serial Number]])-ROW(Table1[[#Headers],[URN]])</f>
        <v>32</v>
      </c>
      <c r="B33" s="44">
        <f>ROW(Table1[[#This Row],[Product 
Serial Number]])-ROW(Table1[[#Headers],[URN]])+999</f>
        <v>1031</v>
      </c>
      <c r="C33" s="65">
        <v>45868</v>
      </c>
      <c r="D33" s="36">
        <f>YEAR(Table1[[#This Row],[Date of 
Acquisition]])</f>
        <v>2025</v>
      </c>
      <c r="E33" s="27" t="s">
        <v>8</v>
      </c>
      <c r="F33" s="27" t="s">
        <v>437</v>
      </c>
      <c r="G33" s="1" t="str">
        <f>VLOOKUP(F33,Validations!$G$2:$H$27,2,0)</f>
        <v>NDT</v>
      </c>
      <c r="H33" s="27" t="s">
        <v>24</v>
      </c>
      <c r="I33" s="31" t="str">
        <f>VLOOKUP(H33,Validations!$D$2:$E$36,2,0)</f>
        <v>LP</v>
      </c>
      <c r="J33" t="s">
        <v>427</v>
      </c>
      <c r="K33" s="1" t="str">
        <f t="shared" si="0"/>
        <v>MCFLLP1031</v>
      </c>
      <c r="L33" s="14" t="s">
        <v>433</v>
      </c>
      <c r="M33" s="14" t="s">
        <v>426</v>
      </c>
    </row>
    <row r="34" spans="1:13" x14ac:dyDescent="0.45">
      <c r="A34" s="32">
        <f>ROW(Table1[[#This Row],[Product 
Serial Number]])-ROW(Table1[[#Headers],[URN]])</f>
        <v>33</v>
      </c>
      <c r="B34" s="44">
        <f>ROW(Table1[[#This Row],[Product 
Serial Number]])-ROW(Table1[[#Headers],[URN]])+999</f>
        <v>1032</v>
      </c>
      <c r="C34" s="65">
        <v>45868</v>
      </c>
      <c r="D34" s="36">
        <f>YEAR(Table1[[#This Row],[Date of 
Acquisition]])</f>
        <v>2025</v>
      </c>
      <c r="E34" s="27" t="s">
        <v>8</v>
      </c>
      <c r="F34" s="27" t="s">
        <v>437</v>
      </c>
      <c r="G34" s="1" t="str">
        <f>VLOOKUP(F34,Validations!$G$2:$H$27,2,0)</f>
        <v>NDT</v>
      </c>
      <c r="H34" s="27" t="s">
        <v>26</v>
      </c>
      <c r="I34" s="31" t="str">
        <f>VLOOKUP(H34,Validations!$D$2:$E$36,2,0)</f>
        <v>ADP</v>
      </c>
      <c r="J34" t="s">
        <v>434</v>
      </c>
      <c r="K34" s="1" t="str">
        <f t="shared" si="0"/>
        <v>MCFLADP1032</v>
      </c>
      <c r="L34" s="14" t="s">
        <v>433</v>
      </c>
      <c r="M34" s="14" t="s">
        <v>426</v>
      </c>
    </row>
    <row r="35" spans="1:13" x14ac:dyDescent="0.45">
      <c r="A35" s="32">
        <f>ROW(Table1[[#This Row],[Product 
Serial Number]])-ROW(Table1[[#Headers],[URN]])</f>
        <v>34</v>
      </c>
      <c r="B35" s="44">
        <f>ROW(Table1[[#This Row],[Product 
Serial Number]])-ROW(Table1[[#Headers],[URN]])+999</f>
        <v>1033</v>
      </c>
      <c r="C35" s="65">
        <v>45868</v>
      </c>
      <c r="D35" s="36">
        <f>YEAR(Table1[[#This Row],[Date of 
Acquisition]])</f>
        <v>2025</v>
      </c>
      <c r="E35" s="27" t="s">
        <v>8</v>
      </c>
      <c r="F35" s="27" t="s">
        <v>437</v>
      </c>
      <c r="G35" s="1" t="str">
        <f>VLOOKUP(F35,Validations!$G$2:$H$27,2,0)</f>
        <v>NDT</v>
      </c>
      <c r="H35" s="27" t="s">
        <v>24</v>
      </c>
      <c r="I35" s="31" t="str">
        <f>VLOOKUP(H35,Validations!$D$2:$E$36,2,0)</f>
        <v>LP</v>
      </c>
      <c r="J35" t="s">
        <v>428</v>
      </c>
      <c r="K35" s="1" t="str">
        <f t="shared" si="0"/>
        <v>MCFLLP1033</v>
      </c>
      <c r="L35" s="14" t="s">
        <v>433</v>
      </c>
      <c r="M35" s="14" t="s">
        <v>426</v>
      </c>
    </row>
    <row r="36" spans="1:13" x14ac:dyDescent="0.45">
      <c r="A36" s="32">
        <f>ROW(Table1[[#This Row],[Product 
Serial Number]])-ROW(Table1[[#Headers],[URN]])</f>
        <v>35</v>
      </c>
      <c r="B36" s="44">
        <f>ROW(Table1[[#This Row],[Product 
Serial Number]])-ROW(Table1[[#Headers],[URN]])+999</f>
        <v>1034</v>
      </c>
      <c r="C36" s="65">
        <v>45868</v>
      </c>
      <c r="D36" s="36">
        <f>YEAR(Table1[[#This Row],[Date of 
Acquisition]])</f>
        <v>2025</v>
      </c>
      <c r="E36" s="27" t="s">
        <v>8</v>
      </c>
      <c r="F36" s="27" t="s">
        <v>437</v>
      </c>
      <c r="G36" s="1" t="str">
        <f>VLOOKUP(F36,Validations!$G$2:$H$27,2,0)</f>
        <v>NDT</v>
      </c>
      <c r="H36" s="27" t="s">
        <v>26</v>
      </c>
      <c r="I36" s="31" t="str">
        <f>VLOOKUP(H36,Validations!$D$2:$E$36,2,0)</f>
        <v>ADP</v>
      </c>
      <c r="J36" t="s">
        <v>435</v>
      </c>
      <c r="K36" s="1" t="str">
        <f t="shared" si="0"/>
        <v>MCFLADP1034</v>
      </c>
      <c r="L36" s="14" t="s">
        <v>433</v>
      </c>
      <c r="M36" s="14" t="s">
        <v>426</v>
      </c>
    </row>
    <row r="37" spans="1:13" x14ac:dyDescent="0.45">
      <c r="A37" s="32">
        <f>ROW(Table1[[#This Row],[Product 
Serial Number]])-ROW(Table1[[#Headers],[URN]])</f>
        <v>36</v>
      </c>
      <c r="B37" s="44">
        <f>ROW(Table1[[#This Row],[Product 
Serial Number]])-ROW(Table1[[#Headers],[URN]])+999</f>
        <v>1035</v>
      </c>
      <c r="C37" s="65">
        <v>45868</v>
      </c>
      <c r="D37" s="36">
        <f>YEAR(Table1[[#This Row],[Date of 
Acquisition]])</f>
        <v>2025</v>
      </c>
      <c r="E37" s="27" t="s">
        <v>8</v>
      </c>
      <c r="F37" s="27" t="s">
        <v>437</v>
      </c>
      <c r="G37" s="1" t="str">
        <f>VLOOKUP(F37,Validations!$G$2:$H$27,2,0)</f>
        <v>NDT</v>
      </c>
      <c r="H37" s="27" t="s">
        <v>24</v>
      </c>
      <c r="I37" s="31" t="str">
        <f>VLOOKUP(H37,Validations!$D$2:$E$36,2,0)</f>
        <v>LP</v>
      </c>
      <c r="J37" t="s">
        <v>429</v>
      </c>
      <c r="K37" s="1" t="str">
        <f t="shared" si="0"/>
        <v>MCFLLP1035</v>
      </c>
      <c r="L37" s="14" t="s">
        <v>433</v>
      </c>
      <c r="M37" s="14" t="s">
        <v>426</v>
      </c>
    </row>
    <row r="38" spans="1:13" x14ac:dyDescent="0.45">
      <c r="A38" s="32">
        <f>ROW(Table1[[#This Row],[Product 
Serial Number]])-ROW(Table1[[#Headers],[URN]])</f>
        <v>37</v>
      </c>
      <c r="B38" s="44">
        <f>ROW(Table1[[#This Row],[Product 
Serial Number]])-ROW(Table1[[#Headers],[URN]])+999</f>
        <v>1036</v>
      </c>
      <c r="C38" s="65">
        <v>45868</v>
      </c>
      <c r="D38" s="36">
        <f>YEAR(Table1[[#This Row],[Date of 
Acquisition]])</f>
        <v>2025</v>
      </c>
      <c r="E38" s="27" t="s">
        <v>8</v>
      </c>
      <c r="F38" s="27" t="s">
        <v>437</v>
      </c>
      <c r="G38" s="1" t="str">
        <f>VLOOKUP(F38,Validations!$G$2:$H$27,2,0)</f>
        <v>NDT</v>
      </c>
      <c r="H38" s="27" t="s">
        <v>26</v>
      </c>
      <c r="I38" s="31" t="str">
        <f>VLOOKUP(H38,Validations!$D$2:$E$36,2,0)</f>
        <v>ADP</v>
      </c>
      <c r="J38" t="s">
        <v>436</v>
      </c>
      <c r="K38" s="1" t="str">
        <f t="shared" si="0"/>
        <v>MCFLADP1036</v>
      </c>
      <c r="L38" s="14" t="s">
        <v>433</v>
      </c>
      <c r="M38" s="14" t="s">
        <v>426</v>
      </c>
    </row>
    <row r="39" spans="1:13" x14ac:dyDescent="0.45">
      <c r="A39" s="32">
        <f>ROW(Table1[[#This Row],[Product 
Serial Number]])-ROW(Table1[[#Headers],[URN]])</f>
        <v>38</v>
      </c>
      <c r="B39" s="44">
        <f>ROW(Table1[[#This Row],[Product 
Serial Number]])-ROW(Table1[[#Headers],[URN]])+999</f>
        <v>1037</v>
      </c>
      <c r="C39" s="65">
        <v>45868</v>
      </c>
      <c r="D39" s="36">
        <f>YEAR(Table1[[#This Row],[Date of 
Acquisition]])</f>
        <v>2025</v>
      </c>
      <c r="E39" s="27" t="s">
        <v>8</v>
      </c>
      <c r="F39" s="27" t="s">
        <v>439</v>
      </c>
      <c r="G39" s="1" t="str">
        <f>VLOOKUP(F39,Validations!$G$2:$H$27,2,0)</f>
        <v>KJT</v>
      </c>
      <c r="H39" s="27" t="s">
        <v>24</v>
      </c>
      <c r="I39" s="31" t="str">
        <f>VLOOKUP(H39,Validations!$D$2:$E$36,2,0)</f>
        <v>LP</v>
      </c>
      <c r="J39" t="s">
        <v>430</v>
      </c>
      <c r="K39" s="1" t="str">
        <f t="shared" si="0"/>
        <v>MCFLLP1037</v>
      </c>
      <c r="L39" s="14" t="s">
        <v>441</v>
      </c>
      <c r="M39" s="14" t="s">
        <v>426</v>
      </c>
    </row>
    <row r="40" spans="1:13" x14ac:dyDescent="0.45">
      <c r="A40" s="32">
        <f>ROW(Table1[[#This Row],[Product 
Serial Number]])-ROW(Table1[[#Headers],[URN]])</f>
        <v>39</v>
      </c>
      <c r="B40" s="44">
        <f>ROW(Table1[[#This Row],[Product 
Serial Number]])-ROW(Table1[[#Headers],[URN]])+999</f>
        <v>1038</v>
      </c>
      <c r="C40" s="65">
        <v>45868</v>
      </c>
      <c r="D40" s="36">
        <f>YEAR(Table1[[#This Row],[Date of 
Acquisition]])</f>
        <v>2025</v>
      </c>
      <c r="E40" s="27" t="s">
        <v>8</v>
      </c>
      <c r="F40" s="27" t="s">
        <v>439</v>
      </c>
      <c r="G40" s="1" t="str">
        <f>VLOOKUP(F40,Validations!$G$2:$H$27,2,0)</f>
        <v>KJT</v>
      </c>
      <c r="H40" s="27" t="s">
        <v>26</v>
      </c>
      <c r="I40" s="31" t="str">
        <f>VLOOKUP(H40,Validations!$D$2:$E$36,2,0)</f>
        <v>ADP</v>
      </c>
      <c r="J40" t="s">
        <v>456</v>
      </c>
      <c r="K40" s="1" t="str">
        <f t="shared" si="0"/>
        <v>MCFLADP1038</v>
      </c>
      <c r="L40" s="14" t="s">
        <v>441</v>
      </c>
      <c r="M40" s="14" t="s">
        <v>426</v>
      </c>
    </row>
    <row r="41" spans="1:13" x14ac:dyDescent="0.45">
      <c r="A41" s="32">
        <f>ROW(Table1[[#This Row],[Product 
Serial Number]])-ROW(Table1[[#Headers],[URN]])</f>
        <v>40</v>
      </c>
      <c r="B41" s="44">
        <f>ROW(Table1[[#This Row],[Product 
Serial Number]])-ROW(Table1[[#Headers],[URN]])+999</f>
        <v>1039</v>
      </c>
      <c r="C41" s="65">
        <v>45868</v>
      </c>
      <c r="D41" s="36">
        <f>YEAR(Table1[[#This Row],[Date of 
Acquisition]])</f>
        <v>2025</v>
      </c>
      <c r="E41" s="27" t="s">
        <v>8</v>
      </c>
      <c r="F41" s="27" t="s">
        <v>439</v>
      </c>
      <c r="G41" s="1" t="str">
        <f>VLOOKUP(F41,Validations!$G$2:$H$27,2,0)</f>
        <v>KJT</v>
      </c>
      <c r="H41" s="27" t="s">
        <v>24</v>
      </c>
      <c r="I41" s="31" t="str">
        <f>VLOOKUP(H41,Validations!$D$2:$E$36,2,0)</f>
        <v>LP</v>
      </c>
      <c r="J41" t="s">
        <v>431</v>
      </c>
      <c r="K41" s="1" t="str">
        <f t="shared" si="0"/>
        <v>MCFLLP1039</v>
      </c>
      <c r="L41" s="14" t="s">
        <v>441</v>
      </c>
      <c r="M41" s="14" t="s">
        <v>426</v>
      </c>
    </row>
    <row r="42" spans="1:13" x14ac:dyDescent="0.45">
      <c r="A42" s="32">
        <f>ROW(Table1[[#This Row],[Product 
Serial Number]])-ROW(Table1[[#Headers],[URN]])</f>
        <v>41</v>
      </c>
      <c r="B42" s="44">
        <f>ROW(Table1[[#This Row],[Product 
Serial Number]])-ROW(Table1[[#Headers],[URN]])+999</f>
        <v>1040</v>
      </c>
      <c r="C42" s="65">
        <v>45868</v>
      </c>
      <c r="D42" s="36">
        <f>YEAR(Table1[[#This Row],[Date of 
Acquisition]])</f>
        <v>2025</v>
      </c>
      <c r="E42" s="27" t="s">
        <v>8</v>
      </c>
      <c r="F42" s="27" t="s">
        <v>439</v>
      </c>
      <c r="G42" s="1" t="str">
        <f>VLOOKUP(F42,Validations!$G$2:$H$27,2,0)</f>
        <v>KJT</v>
      </c>
      <c r="H42" s="27" t="s">
        <v>26</v>
      </c>
      <c r="I42" s="31" t="str">
        <f>VLOOKUP(H42,Validations!$D$2:$E$36,2,0)</f>
        <v>ADP</v>
      </c>
      <c r="J42" t="s">
        <v>458</v>
      </c>
      <c r="K42" s="1" t="str">
        <f t="shared" si="0"/>
        <v>MCFLADP1040</v>
      </c>
      <c r="L42" s="14" t="s">
        <v>441</v>
      </c>
      <c r="M42" s="14" t="s">
        <v>426</v>
      </c>
    </row>
    <row r="43" spans="1:13" x14ac:dyDescent="0.45">
      <c r="A43" s="32">
        <f>ROW(Table1[[#This Row],[Product 
Serial Number]])-ROW(Table1[[#Headers],[URN]])</f>
        <v>42</v>
      </c>
      <c r="B43" s="44">
        <f>ROW(Table1[[#This Row],[Product 
Serial Number]])-ROW(Table1[[#Headers],[URN]])+999</f>
        <v>1041</v>
      </c>
      <c r="C43" s="65">
        <v>45868</v>
      </c>
      <c r="D43" s="36">
        <f>YEAR(Table1[[#This Row],[Date of 
Acquisition]])</f>
        <v>2025</v>
      </c>
      <c r="E43" s="27" t="s">
        <v>8</v>
      </c>
      <c r="F43" s="27" t="s">
        <v>439</v>
      </c>
      <c r="G43" s="1" t="str">
        <f>VLOOKUP(F43,Validations!$G$2:$H$27,2,0)</f>
        <v>KJT</v>
      </c>
      <c r="H43" s="27" t="s">
        <v>24</v>
      </c>
      <c r="I43" s="31" t="str">
        <f>VLOOKUP(H43,Validations!$D$2:$E$36,2,0)</f>
        <v>LP</v>
      </c>
      <c r="J43" t="s">
        <v>432</v>
      </c>
      <c r="K43" s="1" t="str">
        <f t="shared" si="0"/>
        <v>MCFLLP1041</v>
      </c>
      <c r="L43" s="14" t="s">
        <v>441</v>
      </c>
      <c r="M43" s="14" t="s">
        <v>426</v>
      </c>
    </row>
    <row r="44" spans="1:13" x14ac:dyDescent="0.45">
      <c r="A44" s="32">
        <f>ROW(Table1[[#This Row],[Product 
Serial Number]])-ROW(Table1[[#Headers],[URN]])</f>
        <v>43</v>
      </c>
      <c r="B44" s="44">
        <f>ROW(Table1[[#This Row],[Product 
Serial Number]])-ROW(Table1[[#Headers],[URN]])+999</f>
        <v>1042</v>
      </c>
      <c r="C44" s="65">
        <v>45868</v>
      </c>
      <c r="D44" s="36">
        <f>YEAR(Table1[[#This Row],[Date of 
Acquisition]])</f>
        <v>2025</v>
      </c>
      <c r="E44" s="27" t="s">
        <v>8</v>
      </c>
      <c r="F44" s="27" t="s">
        <v>439</v>
      </c>
      <c r="G44" s="1" t="str">
        <f>VLOOKUP(F44,Validations!$G$2:$H$27,2,0)</f>
        <v>KJT</v>
      </c>
      <c r="H44" s="27" t="s">
        <v>26</v>
      </c>
      <c r="I44" s="31" t="str">
        <f>VLOOKUP(H44,Validations!$D$2:$E$36,2,0)</f>
        <v>ADP</v>
      </c>
      <c r="J44" t="s">
        <v>457</v>
      </c>
      <c r="K44" s="1" t="str">
        <f t="shared" si="0"/>
        <v>MCFLADP1042</v>
      </c>
      <c r="L44" s="14" t="s">
        <v>441</v>
      </c>
      <c r="M44" s="14" t="s">
        <v>426</v>
      </c>
    </row>
    <row r="45" spans="1:13" x14ac:dyDescent="0.45">
      <c r="A45" s="32">
        <f>ROW(Table1[[#This Row],[Product 
Serial Number]])-ROW(Table1[[#Headers],[URN]])</f>
        <v>44</v>
      </c>
      <c r="B45" s="44">
        <f>ROW(Table1[[#This Row],[Product 
Serial Number]])-ROW(Table1[[#Headers],[URN]])+999</f>
        <v>1043</v>
      </c>
      <c r="C45" s="59"/>
      <c r="D45" s="36">
        <f>YEAR(Table1[[#This Row],[Date of 
Acquisition]])</f>
        <v>1900</v>
      </c>
      <c r="E45" s="27"/>
      <c r="F45" s="27"/>
      <c r="G45" s="1" t="e">
        <f>VLOOKUP(F45,Validations!$G$2:$H$27,2,0)</f>
        <v>#N/A</v>
      </c>
      <c r="H45" s="27"/>
      <c r="I45" s="31" t="e">
        <f>VLOOKUP(H45,Validations!$D$2:$E$24,2,0)</f>
        <v>#N/A</v>
      </c>
      <c r="J45" s="28"/>
      <c r="K45" s="1" t="e">
        <f t="shared" si="0"/>
        <v>#N/A</v>
      </c>
    </row>
    <row r="46" spans="1:13" x14ac:dyDescent="0.45">
      <c r="A46" s="32">
        <f>ROW(Table1[[#This Row],[Product 
Serial Number]])-ROW(Table1[[#Headers],[URN]])</f>
        <v>45</v>
      </c>
      <c r="B46" s="44">
        <f>ROW(Table1[[#This Row],[Product 
Serial Number]])-ROW(Table1[[#Headers],[URN]])+999</f>
        <v>1044</v>
      </c>
      <c r="C46" s="59"/>
      <c r="D46" s="36">
        <f>YEAR(Table1[[#This Row],[Date of 
Acquisition]])</f>
        <v>1900</v>
      </c>
      <c r="E46" s="27"/>
      <c r="F46" s="27"/>
      <c r="G46" s="1" t="e">
        <f>VLOOKUP(F46,Validations!$G$2:$H$27,2,0)</f>
        <v>#N/A</v>
      </c>
      <c r="H46" s="27"/>
      <c r="I46" s="31" t="e">
        <f>VLOOKUP(H46,Validations!$D$2:$E$24,2,0)</f>
        <v>#N/A</v>
      </c>
      <c r="J46" s="28"/>
      <c r="K46" s="1" t="e">
        <f t="shared" si="0"/>
        <v>#N/A</v>
      </c>
    </row>
    <row r="47" spans="1:13" x14ac:dyDescent="0.45">
      <c r="A47" s="32">
        <f>ROW(Table1[[#This Row],[Product 
Serial Number]])-ROW(Table1[[#Headers],[URN]])</f>
        <v>46</v>
      </c>
      <c r="B47" s="44">
        <f>ROW(Table1[[#This Row],[Product 
Serial Number]])-ROW(Table1[[#Headers],[URN]])+999</f>
        <v>1045</v>
      </c>
      <c r="C47" s="59"/>
      <c r="D47" s="36">
        <f>YEAR(Table1[[#This Row],[Date of 
Acquisition]])</f>
        <v>1900</v>
      </c>
      <c r="E47" s="27"/>
      <c r="F47" s="27"/>
      <c r="G47" s="1" t="e">
        <f>VLOOKUP(F47,Validations!$G$2:$H$27,2,0)</f>
        <v>#N/A</v>
      </c>
      <c r="H47" s="27"/>
      <c r="I47" s="31" t="e">
        <f>VLOOKUP(H47,Validations!$D$2:$E$24,2,0)</f>
        <v>#N/A</v>
      </c>
      <c r="J47" s="26"/>
      <c r="K47" s="1" t="e">
        <f t="shared" si="0"/>
        <v>#N/A</v>
      </c>
    </row>
    <row r="48" spans="1:13" x14ac:dyDescent="0.45">
      <c r="A48" s="32">
        <f>ROW(Table1[[#This Row],[Product 
Serial Number]])-ROW(Table1[[#Headers],[URN]])</f>
        <v>47</v>
      </c>
      <c r="B48" s="44">
        <f>ROW(Table1[[#This Row],[Product 
Serial Number]])-ROW(Table1[[#Headers],[URN]])+999</f>
        <v>1046</v>
      </c>
      <c r="C48" s="59"/>
      <c r="D48" s="36">
        <f>YEAR(Table1[[#This Row],[Date of 
Acquisition]])</f>
        <v>1900</v>
      </c>
      <c r="E48" s="27"/>
      <c r="F48" s="27"/>
      <c r="G48" s="1" t="e">
        <f>VLOOKUP(F48,Validations!$G$2:$H$27,2,0)</f>
        <v>#N/A</v>
      </c>
      <c r="H48" s="27"/>
      <c r="I48" s="31" t="e">
        <f>VLOOKUP(H48,Validations!$D$2:$E$24,2,0)</f>
        <v>#N/A</v>
      </c>
      <c r="J48" s="28"/>
      <c r="K48" s="1" t="e">
        <f t="shared" si="0"/>
        <v>#N/A</v>
      </c>
    </row>
    <row r="49" spans="1:11" x14ac:dyDescent="0.45">
      <c r="A49" s="32">
        <f>ROW(Table1[[#This Row],[Product 
Serial Number]])-ROW(Table1[[#Headers],[URN]])</f>
        <v>48</v>
      </c>
      <c r="B49" s="44">
        <f>ROW(Table1[[#This Row],[Product 
Serial Number]])-ROW(Table1[[#Headers],[URN]])+999</f>
        <v>1047</v>
      </c>
      <c r="C49" s="59"/>
      <c r="D49" s="36">
        <f>YEAR(Table1[[#This Row],[Date of 
Acquisition]])</f>
        <v>1900</v>
      </c>
      <c r="E49" s="27"/>
      <c r="F49" s="27"/>
      <c r="G49" s="1" t="e">
        <f>VLOOKUP(F49,Validations!$G$2:$H$27,2,0)</f>
        <v>#N/A</v>
      </c>
      <c r="H49" s="27"/>
      <c r="I49" s="31" t="e">
        <f>VLOOKUP(H49,Validations!$D$2:$E$24,2,0)</f>
        <v>#N/A</v>
      </c>
      <c r="J49" s="28"/>
      <c r="K49" s="1" t="e">
        <f t="shared" si="0"/>
        <v>#N/A</v>
      </c>
    </row>
    <row r="50" spans="1:11" x14ac:dyDescent="0.45">
      <c r="A50" s="32">
        <f>ROW(Table1[[#This Row],[Product 
Serial Number]])-ROW(Table1[[#Headers],[URN]])</f>
        <v>49</v>
      </c>
      <c r="B50" s="44">
        <f>ROW(Table1[[#This Row],[Product 
Serial Number]])-ROW(Table1[[#Headers],[URN]])+999</f>
        <v>1048</v>
      </c>
      <c r="C50" s="59"/>
      <c r="D50" s="36">
        <f>YEAR(Table1[[#This Row],[Date of 
Acquisition]])</f>
        <v>1900</v>
      </c>
      <c r="E50" s="27"/>
      <c r="F50" s="27"/>
      <c r="G50" s="1" t="e">
        <f>VLOOKUP(F50,Validations!$G$2:$H$27,2,0)</f>
        <v>#N/A</v>
      </c>
      <c r="H50" s="27"/>
      <c r="I50" s="31" t="e">
        <f>VLOOKUP(H50,Validations!$D$2:$E$24,2,0)</f>
        <v>#N/A</v>
      </c>
      <c r="J50" s="28"/>
      <c r="K50" s="1" t="e">
        <f t="shared" si="0"/>
        <v>#N/A</v>
      </c>
    </row>
    <row r="51" spans="1:11" x14ac:dyDescent="0.45">
      <c r="A51" s="32">
        <f>ROW(Table1[[#This Row],[Product 
Serial Number]])-ROW(Table1[[#Headers],[URN]])</f>
        <v>50</v>
      </c>
      <c r="B51" s="44">
        <f>ROW(Table1[[#This Row],[Product 
Serial Number]])-ROW(Table1[[#Headers],[URN]])+999</f>
        <v>1049</v>
      </c>
      <c r="C51" s="59"/>
      <c r="D51" s="36">
        <f>YEAR(Table1[[#This Row],[Date of 
Acquisition]])</f>
        <v>1900</v>
      </c>
      <c r="E51" s="27"/>
      <c r="F51" s="27"/>
      <c r="G51" s="1" t="e">
        <f>VLOOKUP(F51,Validations!$G$2:$H$27,2,0)</f>
        <v>#N/A</v>
      </c>
      <c r="H51" s="27"/>
      <c r="I51" s="31" t="e">
        <f>VLOOKUP(H51,Validations!$D$2:$E$24,2,0)</f>
        <v>#N/A</v>
      </c>
      <c r="J51" s="28"/>
      <c r="K51" s="1" t="e">
        <f t="shared" si="0"/>
        <v>#N/A</v>
      </c>
    </row>
    <row r="52" spans="1:11" x14ac:dyDescent="0.45">
      <c r="A52" s="38" t="e">
        <f>ROW(Table1[[#This Row],[Product 
Serial Number]])-ROW(Table1[[#Headers],[URN]])</f>
        <v>#VALUE!</v>
      </c>
      <c r="B52" s="45" t="s">
        <v>47</v>
      </c>
      <c r="C52" s="60" t="s">
        <v>48</v>
      </c>
      <c r="D52" s="41" t="s">
        <v>49</v>
      </c>
      <c r="E52" s="27"/>
      <c r="F52" s="40" t="s">
        <v>50</v>
      </c>
      <c r="G52" s="39" t="s">
        <v>51</v>
      </c>
      <c r="H52" s="40" t="s">
        <v>52</v>
      </c>
      <c r="I52" s="39" t="s">
        <v>53</v>
      </c>
      <c r="J52" s="56" t="s">
        <v>54</v>
      </c>
      <c r="K52" s="39" t="s">
        <v>52</v>
      </c>
    </row>
  </sheetData>
  <dataConsolidate/>
  <phoneticPr fontId="6" type="noConversion"/>
  <conditionalFormatting sqref="B1:B1048576">
    <cfRule type="duplicateValues" dxfId="11" priority="12"/>
  </conditionalFormatting>
  <conditionalFormatting sqref="J1:K1 J45:K1048576 K2:K51">
    <cfRule type="duplicateValues" dxfId="1" priority="385"/>
  </conditionalFormatting>
  <conditionalFormatting sqref="K1:K1048576">
    <cfRule type="duplicateValues" dxfId="0" priority="388"/>
  </conditionalFormatting>
  <pageMargins left="0.7" right="0.7" top="0.75" bottom="0.75" header="0.3" footer="0.3"/>
  <pageSetup scale="44" fitToHeight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Validations!$D$2:$D$36</xm:f>
          </x14:formula1>
          <xm:sqref>H1:H1048576</xm:sqref>
        </x14:dataValidation>
        <x14:dataValidation type="list" allowBlank="1" showInputMessage="1" showErrorMessage="1" xr:uid="{00000000-0002-0000-0100-000002000000}">
          <x14:formula1>
            <xm:f>Validations!$G$2:$G$27</xm:f>
          </x14:formula1>
          <xm:sqref>F1:F1048576</xm:sqref>
        </x14:dataValidation>
        <x14:dataValidation type="list" allowBlank="1" showInputMessage="1" showErrorMessage="1" xr:uid="{35AAE789-422E-4B63-90AD-0111AD198990}">
          <x14:formula1>
            <xm:f>Validations!$B$2:$B$8</xm:f>
          </x14:formula1>
          <xm:sqref>E1:E1048576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1" sqref="P1"/>
    </sheetView>
  </sheetViews>
  <sheetFormatPr defaultColWidth="9.1328125" defaultRowHeight="14.25" x14ac:dyDescent="0.45"/>
  <cols>
    <col min="1" max="1" width="6.19921875" style="30" bestFit="1" customWidth="1"/>
    <col min="2" max="2" width="13.1328125" style="14" bestFit="1" customWidth="1"/>
    <col min="3" max="3" width="9.6640625" style="14" bestFit="1" customWidth="1"/>
    <col min="4" max="4" width="8.46484375" style="14" bestFit="1" customWidth="1"/>
    <col min="5" max="5" width="14.3984375" style="14" bestFit="1" customWidth="1"/>
    <col min="6" max="6" width="11.6640625" bestFit="1" customWidth="1"/>
    <col min="7" max="7" width="24.86328125" style="14" bestFit="1" customWidth="1"/>
    <col min="8" max="8" width="10.796875" style="14" bestFit="1" customWidth="1"/>
    <col min="9" max="9" width="28.6640625" bestFit="1" customWidth="1"/>
    <col min="10" max="10" width="21.3984375" style="14" bestFit="1" customWidth="1"/>
    <col min="11" max="11" width="39.265625" style="14" bestFit="1" customWidth="1"/>
    <col min="12" max="12" width="38.1328125" style="14" bestFit="1" customWidth="1"/>
    <col min="13" max="13" width="13.19921875" bestFit="1" customWidth="1"/>
    <col min="14" max="14" width="11.33203125" bestFit="1" customWidth="1"/>
    <col min="15" max="15" width="24.1328125" style="14" bestFit="1" customWidth="1"/>
    <col min="16" max="16" width="13.73046875" style="14" customWidth="1"/>
    <col min="17" max="17" width="20.59765625" style="14" customWidth="1"/>
    <col min="18" max="18" width="24.59765625" style="14" bestFit="1" customWidth="1"/>
    <col min="19" max="16384" width="9.1328125" style="14"/>
  </cols>
  <sheetData>
    <row r="1" spans="1:15" s="17" customFormat="1" x14ac:dyDescent="0.45">
      <c r="A1" s="18" t="s">
        <v>55</v>
      </c>
      <c r="B1" s="18" t="s">
        <v>56</v>
      </c>
      <c r="C1" s="18" t="s">
        <v>5</v>
      </c>
      <c r="D1" s="18" t="s">
        <v>6</v>
      </c>
      <c r="E1" s="19" t="s">
        <v>2</v>
      </c>
      <c r="F1" s="19" t="s">
        <v>43</v>
      </c>
      <c r="G1" s="19" t="s">
        <v>57</v>
      </c>
      <c r="H1" s="19" t="s">
        <v>58</v>
      </c>
      <c r="I1" s="19" t="s">
        <v>59</v>
      </c>
      <c r="J1" s="53" t="s">
        <v>60</v>
      </c>
      <c r="K1" s="19" t="s">
        <v>61</v>
      </c>
      <c r="L1" t="s">
        <v>176</v>
      </c>
      <c r="M1" s="20" t="s">
        <v>62</v>
      </c>
      <c r="N1" s="20" t="s">
        <v>63</v>
      </c>
      <c r="O1" s="21" t="s">
        <v>64</v>
      </c>
    </row>
    <row r="2" spans="1:15" x14ac:dyDescent="0.45">
      <c r="A2" s="33">
        <f>ROW(TagTheAsset!$B2)-ROW(TagTheAsset!$A$1)</f>
        <v>1</v>
      </c>
      <c r="B2" t="str">
        <f>Table1[[#This Row],[Tagging No.]]</f>
        <v>MCFLBIO1000</v>
      </c>
      <c r="C2" t="s">
        <v>12</v>
      </c>
      <c r="D2" t="s">
        <v>18</v>
      </c>
      <c r="E2" t="str">
        <f>Table1[[#This Row],[Product]]</f>
        <v>Biomax</v>
      </c>
      <c r="F2" t="str">
        <f>VLOOKUP(Table5[[#This Row],[Product]],Table6[],2,0)</f>
        <v>BIO</v>
      </c>
      <c r="G2"/>
      <c r="H2" t="s">
        <v>66</v>
      </c>
      <c r="I2" s="54" t="str">
        <f>Table1[[#This Row],[Product 
Serial Number]]</f>
        <v>AMDB24111500028</v>
      </c>
      <c r="J2" s="14" t="s">
        <v>86</v>
      </c>
      <c r="K2" t="s">
        <v>292</v>
      </c>
      <c r="L2" t="s">
        <v>69</v>
      </c>
      <c r="N2">
        <v>34000</v>
      </c>
      <c r="O2" t="s">
        <v>236</v>
      </c>
    </row>
    <row r="3" spans="1:15" x14ac:dyDescent="0.45">
      <c r="A3" s="33">
        <f>ROW(TagTheAsset!$B3)-ROW(TagTheAsset!$A$1)</f>
        <v>2</v>
      </c>
      <c r="B3" t="str">
        <f>Table1[[#This Row],[Tagging No.]]</f>
        <v>MCFLBIO1001</v>
      </c>
      <c r="C3" t="s">
        <v>12</v>
      </c>
      <c r="D3" t="s">
        <v>18</v>
      </c>
      <c r="E3" t="str">
        <f>Table1[[#This Row],[Product]]</f>
        <v>Biomax</v>
      </c>
      <c r="F3" t="str">
        <f>VLOOKUP(Table5[[#This Row],[Product]],Table6[],2,0)</f>
        <v>BIO</v>
      </c>
      <c r="G3"/>
      <c r="H3" t="s">
        <v>66</v>
      </c>
      <c r="I3" s="54" t="str">
        <f>Table1[[#This Row],[Product 
Serial Number]]</f>
        <v>AMDB24052200858</v>
      </c>
      <c r="J3" s="14" t="s">
        <v>67</v>
      </c>
      <c r="K3" t="s">
        <v>68</v>
      </c>
      <c r="L3" t="s">
        <v>72</v>
      </c>
      <c r="N3">
        <v>30476</v>
      </c>
      <c r="O3" t="s">
        <v>291</v>
      </c>
    </row>
    <row r="4" spans="1:15" x14ac:dyDescent="0.45">
      <c r="A4" s="33">
        <f>ROW(TagTheAsset!$B4)-ROW(TagTheAsset!$A$1)</f>
        <v>3</v>
      </c>
      <c r="B4" t="str">
        <f>Table1[[#This Row],[Tagging No.]]</f>
        <v>MCFLAS1002</v>
      </c>
      <c r="C4" t="s">
        <v>12</v>
      </c>
      <c r="D4" t="s">
        <v>18</v>
      </c>
      <c r="E4" t="str">
        <f>Table1[[#This Row],[Product]]</f>
        <v>Alarm System</v>
      </c>
      <c r="F4" t="str">
        <f>VLOOKUP(Table5[[#This Row],[Product]],Table6[],2,0)</f>
        <v>AS</v>
      </c>
      <c r="G4"/>
      <c r="H4" t="s">
        <v>66</v>
      </c>
      <c r="I4" s="54" t="str">
        <f>Table1[[#This Row],[Product 
Serial Number]]</f>
        <v>Q37689185</v>
      </c>
      <c r="J4" s="14" t="s">
        <v>86</v>
      </c>
      <c r="K4" t="s">
        <v>292</v>
      </c>
      <c r="L4" t="s">
        <v>69</v>
      </c>
      <c r="N4">
        <v>34000</v>
      </c>
      <c r="O4" t="s">
        <v>236</v>
      </c>
    </row>
    <row r="5" spans="1:15" x14ac:dyDescent="0.45">
      <c r="A5" s="33">
        <f>ROW(TagTheAsset!$B5)-ROW(TagTheAsset!$A$1)</f>
        <v>4</v>
      </c>
      <c r="B5" t="str">
        <f>Table1[[#This Row],[Tagging No.]]</f>
        <v>MCFLCAM1003</v>
      </c>
      <c r="C5" t="s">
        <v>12</v>
      </c>
      <c r="D5" t="s">
        <v>18</v>
      </c>
      <c r="E5" t="str">
        <f>Table1[[#This Row],[Product]]</f>
        <v>CCTV Camera</v>
      </c>
      <c r="F5" t="str">
        <f>VLOOKUP(Table5[[#This Row],[Product]],Table6[],2,0)</f>
        <v>CAM</v>
      </c>
      <c r="G5"/>
      <c r="H5" t="s">
        <v>66</v>
      </c>
      <c r="I5" s="54" t="str">
        <f>Table1[[#This Row],[Product 
Serial Number]]</f>
        <v>FV5562000</v>
      </c>
      <c r="J5" s="14" t="s">
        <v>86</v>
      </c>
      <c r="K5" t="s">
        <v>292</v>
      </c>
      <c r="L5" t="s">
        <v>69</v>
      </c>
      <c r="N5">
        <v>34000</v>
      </c>
      <c r="O5" t="s">
        <v>236</v>
      </c>
    </row>
    <row r="6" spans="1:15" x14ac:dyDescent="0.45">
      <c r="A6" s="33">
        <f>ROW(TagTheAsset!$B6)-ROW(TagTheAsset!$A$1)</f>
        <v>5</v>
      </c>
      <c r="B6" t="str">
        <f>Table1[[#This Row],[Tagging No.]]</f>
        <v>MCFLCAM1004</v>
      </c>
      <c r="C6" t="s">
        <v>12</v>
      </c>
      <c r="D6" t="s">
        <v>18</v>
      </c>
      <c r="E6" t="str">
        <f>Table1[[#This Row],[Product]]</f>
        <v>CCTV Camera</v>
      </c>
      <c r="F6" t="str">
        <f>VLOOKUP(Table5[[#This Row],[Product]],Table6[],2,0)</f>
        <v>CAM</v>
      </c>
      <c r="G6"/>
      <c r="H6" t="s">
        <v>66</v>
      </c>
      <c r="I6" s="54" t="str">
        <f>Table1[[#This Row],[Product 
Serial Number]]</f>
        <v>FV5561977</v>
      </c>
      <c r="J6" s="14" t="s">
        <v>67</v>
      </c>
      <c r="K6" t="s">
        <v>68</v>
      </c>
      <c r="L6" t="s">
        <v>69</v>
      </c>
      <c r="N6">
        <v>30476</v>
      </c>
      <c r="O6" t="s">
        <v>291</v>
      </c>
    </row>
    <row r="7" spans="1:15" x14ac:dyDescent="0.45">
      <c r="A7" s="33">
        <f>ROW(TagTheAsset!$B7)-ROW(TagTheAsset!$A$1)</f>
        <v>6</v>
      </c>
      <c r="B7" t="str">
        <f>Table1[[#This Row],[Tagging No.]]</f>
        <v>MCFLCAM1005</v>
      </c>
      <c r="C7" t="s">
        <v>12</v>
      </c>
      <c r="D7" t="s">
        <v>18</v>
      </c>
      <c r="E7" t="str">
        <f>Table1[[#This Row],[Product]]</f>
        <v>CCTV Camera</v>
      </c>
      <c r="F7" t="str">
        <f>VLOOKUP(Table5[[#This Row],[Product]],Table6[],2,0)</f>
        <v>CAM</v>
      </c>
      <c r="G7"/>
      <c r="H7" t="s">
        <v>66</v>
      </c>
      <c r="I7" s="54" t="str">
        <f>Table1[[#This Row],[Product 
Serial Number]]</f>
        <v>FV5562002</v>
      </c>
      <c r="J7" s="14" t="s">
        <v>67</v>
      </c>
      <c r="K7" t="s">
        <v>68</v>
      </c>
      <c r="L7" t="s">
        <v>69</v>
      </c>
      <c r="N7">
        <v>30476</v>
      </c>
      <c r="O7" t="s">
        <v>291</v>
      </c>
    </row>
    <row r="8" spans="1:15" x14ac:dyDescent="0.45">
      <c r="A8" s="33">
        <f>ROW(TagTheAsset!$B8)-ROW(TagTheAsset!$A$1)</f>
        <v>7</v>
      </c>
      <c r="B8" t="str">
        <f>Table1[[#This Row],[Tagging No.]]</f>
        <v>MCFLCAM1006</v>
      </c>
      <c r="C8" t="s">
        <v>12</v>
      </c>
      <c r="D8" t="s">
        <v>18</v>
      </c>
      <c r="E8" t="str">
        <f>Table1[[#This Row],[Product]]</f>
        <v>CCTV Camera</v>
      </c>
      <c r="F8" t="str">
        <f>VLOOKUP(Table5[[#This Row],[Product]],Table6[],2,0)</f>
        <v>CAM</v>
      </c>
      <c r="G8"/>
      <c r="H8" t="s">
        <v>66</v>
      </c>
      <c r="I8" s="54" t="str">
        <f>Table1[[#This Row],[Product 
Serial Number]]</f>
        <v>FV3220092</v>
      </c>
      <c r="J8" s="14" t="s">
        <v>86</v>
      </c>
      <c r="K8" t="s">
        <v>292</v>
      </c>
      <c r="L8" t="s">
        <v>69</v>
      </c>
      <c r="N8">
        <v>34000</v>
      </c>
      <c r="O8" t="s">
        <v>236</v>
      </c>
    </row>
    <row r="9" spans="1:15" x14ac:dyDescent="0.45">
      <c r="A9" s="33">
        <f>ROW(TagTheAsset!$B9)-ROW(TagTheAsset!$A$1)</f>
        <v>8</v>
      </c>
      <c r="B9" t="str">
        <f>Table1[[#This Row],[Tagging No.]]</f>
        <v>MCFLCAM1007</v>
      </c>
      <c r="C9" t="s">
        <v>12</v>
      </c>
      <c r="D9" t="s">
        <v>18</v>
      </c>
      <c r="E9" t="str">
        <f>Table1[[#This Row],[Product]]</f>
        <v>CCTV Camera</v>
      </c>
      <c r="F9" t="str">
        <f>VLOOKUP(Table5[[#This Row],[Product]],Table6[],2,0)</f>
        <v>CAM</v>
      </c>
      <c r="G9"/>
      <c r="H9" t="s">
        <v>66</v>
      </c>
      <c r="I9" s="54" t="str">
        <f>Table1[[#This Row],[Product 
Serial Number]]</f>
        <v>FV3220117</v>
      </c>
      <c r="J9" s="14" t="s">
        <v>67</v>
      </c>
      <c r="K9" t="s">
        <v>78</v>
      </c>
      <c r="L9" t="s">
        <v>69</v>
      </c>
      <c r="N9">
        <v>30476</v>
      </c>
      <c r="O9" t="s">
        <v>291</v>
      </c>
    </row>
    <row r="10" spans="1:15" x14ac:dyDescent="0.45">
      <c r="A10" s="33">
        <f>ROW(TagTheAsset!$B10)-ROW(TagTheAsset!$A$1)</f>
        <v>9</v>
      </c>
      <c r="B10" t="str">
        <f>Table1[[#This Row],[Tagging No.]]</f>
        <v>MCFLCAM1008</v>
      </c>
      <c r="C10" t="s">
        <v>12</v>
      </c>
      <c r="D10" t="s">
        <v>18</v>
      </c>
      <c r="E10" t="str">
        <f>Table1[[#This Row],[Product]]</f>
        <v>CCTV Camera</v>
      </c>
      <c r="F10" t="str">
        <f>VLOOKUP(Table5[[#This Row],[Product]],Table6[],2,0)</f>
        <v>CAM</v>
      </c>
      <c r="G10"/>
      <c r="H10" t="s">
        <v>66</v>
      </c>
      <c r="I10" s="54" t="str">
        <f>Table1[[#This Row],[Product 
Serial Number]]</f>
        <v>FV3220139</v>
      </c>
      <c r="J10" s="14" t="s">
        <v>67</v>
      </c>
      <c r="K10" t="s">
        <v>80</v>
      </c>
      <c r="L10" t="s">
        <v>69</v>
      </c>
      <c r="N10">
        <v>30476</v>
      </c>
      <c r="O10" t="s">
        <v>291</v>
      </c>
    </row>
    <row r="11" spans="1:15" x14ac:dyDescent="0.45">
      <c r="A11" s="33">
        <f>ROW(TagTheAsset!$B11)-ROW(TagTheAsset!$A$1)</f>
        <v>10</v>
      </c>
      <c r="B11" t="str">
        <f>Table1[[#This Row],[Tagging No.]]</f>
        <v>MCFLCAM1009</v>
      </c>
      <c r="C11" t="s">
        <v>12</v>
      </c>
      <c r="D11" t="s">
        <v>18</v>
      </c>
      <c r="E11" t="str">
        <f>Table1[[#This Row],[Product]]</f>
        <v>CCTV Camera</v>
      </c>
      <c r="F11" t="str">
        <f>VLOOKUP(Table5[[#This Row],[Product]],Table6[],2,0)</f>
        <v>CAM</v>
      </c>
      <c r="G11"/>
      <c r="H11" t="s">
        <v>66</v>
      </c>
      <c r="I11" s="54" t="str">
        <f>Table1[[#This Row],[Product 
Serial Number]]</f>
        <v>FV3220049</v>
      </c>
      <c r="J11" s="14" t="s">
        <v>67</v>
      </c>
      <c r="K11" t="s">
        <v>82</v>
      </c>
      <c r="L11" t="s">
        <v>83</v>
      </c>
      <c r="N11">
        <v>30476</v>
      </c>
      <c r="O11" t="s">
        <v>291</v>
      </c>
    </row>
    <row r="12" spans="1:15" x14ac:dyDescent="0.45">
      <c r="A12" s="33">
        <f>ROW(TagTheAsset!$B12)-ROW(TagTheAsset!$A$1)</f>
        <v>11</v>
      </c>
      <c r="B12" t="str">
        <f>Table1[[#This Row],[Tagging No.]]</f>
        <v>MCFLCAM1010</v>
      </c>
      <c r="C12" t="s">
        <v>12</v>
      </c>
      <c r="D12" t="s">
        <v>18</v>
      </c>
      <c r="E12" t="str">
        <f>Table1[[#This Row],[Product]]</f>
        <v>CCTV Camera</v>
      </c>
      <c r="F12" t="str">
        <f>VLOOKUP(Table5[[#This Row],[Product]],Table6[],2,0)</f>
        <v>CAM</v>
      </c>
      <c r="G12"/>
      <c r="H12" t="s">
        <v>66</v>
      </c>
      <c r="I12" s="54" t="str">
        <f>Table1[[#This Row],[Product 
Serial Number]]</f>
        <v>FV3220128</v>
      </c>
      <c r="J12" s="14" t="s">
        <v>67</v>
      </c>
      <c r="K12" t="s">
        <v>78</v>
      </c>
      <c r="L12" t="s">
        <v>85</v>
      </c>
      <c r="N12">
        <v>30476</v>
      </c>
      <c r="O12" t="s">
        <v>291</v>
      </c>
    </row>
    <row r="13" spans="1:15" x14ac:dyDescent="0.45">
      <c r="A13" s="33">
        <f>ROW(TagTheAsset!$B13)-ROW(TagTheAsset!$A$1)</f>
        <v>12</v>
      </c>
      <c r="B13" t="str">
        <f>Table1[[#This Row],[Tagging No.]]</f>
        <v>MCFLPRI1011</v>
      </c>
      <c r="C13" t="s">
        <v>12</v>
      </c>
      <c r="D13" t="s">
        <v>18</v>
      </c>
      <c r="E13" t="str">
        <f>Table1[[#This Row],[Product]]</f>
        <v>Printer</v>
      </c>
      <c r="F13" t="str">
        <f>VLOOKUP(Table5[[#This Row],[Product]],Table6[],2,0)</f>
        <v>PRI</v>
      </c>
      <c r="G13"/>
      <c r="H13" t="s">
        <v>66</v>
      </c>
      <c r="I13" s="54" t="str">
        <f>Table1[[#This Row],[Product 
Serial Number]]</f>
        <v>CNBRT5N0V1</v>
      </c>
      <c r="J13" s="14" t="s">
        <v>86</v>
      </c>
      <c r="K13" t="s">
        <v>292</v>
      </c>
      <c r="L13" t="s">
        <v>69</v>
      </c>
      <c r="N13">
        <v>34000</v>
      </c>
      <c r="O13" t="s">
        <v>236</v>
      </c>
    </row>
    <row r="14" spans="1:15" x14ac:dyDescent="0.45">
      <c r="A14" s="33">
        <f>ROW(TagTheAsset!$B14)-ROW(TagTheAsset!$A$1)</f>
        <v>13</v>
      </c>
      <c r="B14" t="str">
        <f>Table1[[#This Row],[Tagging No.]]</f>
        <v>MCFLSWI1012</v>
      </c>
      <c r="C14" t="s">
        <v>12</v>
      </c>
      <c r="D14" t="s">
        <v>18</v>
      </c>
      <c r="E14" t="str">
        <f>Table1[[#This Row],[Product]]</f>
        <v>Switch</v>
      </c>
      <c r="F14" t="str">
        <f>VLOOKUP(Table5[[#This Row],[Product]],Table6[],2,0)</f>
        <v>SWI</v>
      </c>
      <c r="G14"/>
      <c r="H14" t="s">
        <v>66</v>
      </c>
      <c r="I14" s="54" t="str">
        <f>Table1[[#This Row],[Product 
Serial Number]]</f>
        <v>22463N3008737</v>
      </c>
      <c r="J14" s="14" t="s">
        <v>67</v>
      </c>
      <c r="K14" t="s">
        <v>78</v>
      </c>
      <c r="L14" t="s">
        <v>85</v>
      </c>
      <c r="N14">
        <v>30476</v>
      </c>
      <c r="O14" t="s">
        <v>291</v>
      </c>
    </row>
    <row r="15" spans="1:15" x14ac:dyDescent="0.45">
      <c r="A15" s="33">
        <f>ROW(TagTheAsset!$B15)-ROW(TagTheAsset!$A$1)</f>
        <v>14</v>
      </c>
      <c r="B15" t="str">
        <f>Table1[[#This Row],[Tagging No.]]</f>
        <v>MCFLSWI1013</v>
      </c>
      <c r="C15" t="s">
        <v>12</v>
      </c>
      <c r="D15" t="s">
        <v>18</v>
      </c>
      <c r="E15" t="str">
        <f>Table1[[#This Row],[Product]]</f>
        <v>Switch</v>
      </c>
      <c r="F15" t="str">
        <f>VLOOKUP(Table5[[#This Row],[Product]],Table6[],2,0)</f>
        <v>SWI</v>
      </c>
      <c r="G15"/>
      <c r="H15" t="s">
        <v>66</v>
      </c>
      <c r="I15" s="54" t="str">
        <f>Table1[[#This Row],[Product 
Serial Number]]</f>
        <v>S08G2241203473</v>
      </c>
      <c r="J15" s="14" t="s">
        <v>67</v>
      </c>
      <c r="K15" t="s">
        <v>78</v>
      </c>
      <c r="L15" t="s">
        <v>85</v>
      </c>
      <c r="N15">
        <v>30476</v>
      </c>
      <c r="O15" t="s">
        <v>291</v>
      </c>
    </row>
    <row r="16" spans="1:15" x14ac:dyDescent="0.45">
      <c r="A16" s="33">
        <f>ROW(TagTheAsset!$B16)-ROW(TagTheAsset!$A$1)</f>
        <v>15</v>
      </c>
      <c r="B16" t="str">
        <f>Table1[[#This Row],[Tagging No.]]</f>
        <v>MCFLMOB1014</v>
      </c>
      <c r="C16" t="s">
        <v>12</v>
      </c>
      <c r="D16" t="s">
        <v>18</v>
      </c>
      <c r="E16" t="str">
        <f>Table1[[#This Row],[Product]]</f>
        <v>Mobile</v>
      </c>
      <c r="F16" t="str">
        <f>VLOOKUP(Table5[[#This Row],[Product]],Table6[],2,0)</f>
        <v>MOB</v>
      </c>
      <c r="G16"/>
      <c r="H16" t="s">
        <v>66</v>
      </c>
      <c r="I16" s="54">
        <f>Table1[[#This Row],[Product 
Serial Number]]</f>
        <v>0</v>
      </c>
      <c r="J16" s="14" t="s">
        <v>67</v>
      </c>
      <c r="K16" t="s">
        <v>68</v>
      </c>
      <c r="L16" t="s">
        <v>85</v>
      </c>
      <c r="N16">
        <v>30476</v>
      </c>
      <c r="O16" t="s">
        <v>291</v>
      </c>
    </row>
    <row r="17" spans="1:15" x14ac:dyDescent="0.45">
      <c r="A17" s="33">
        <f>ROW(TagTheAsset!$B17)-ROW(TagTheAsset!$A$1)</f>
        <v>16</v>
      </c>
      <c r="B17" t="str">
        <f>Table1[[#This Row],[Tagging No.]]</f>
        <v>MCFLMOB1015</v>
      </c>
      <c r="C17" t="s">
        <v>12</v>
      </c>
      <c r="D17" t="s">
        <v>18</v>
      </c>
      <c r="E17" t="str">
        <f>Table1[[#This Row],[Product]]</f>
        <v>Mobile</v>
      </c>
      <c r="F17" t="str">
        <f>VLOOKUP(Table5[[#This Row],[Product]],Table6[],2,0)</f>
        <v>MOB</v>
      </c>
      <c r="G17"/>
      <c r="H17" t="s">
        <v>66</v>
      </c>
      <c r="I17" s="54" t="str">
        <f>Table1[[#This Row],[Product 
Serial Number]]</f>
        <v>R9ZY30VM02N</v>
      </c>
      <c r="J17" s="14" t="s">
        <v>67</v>
      </c>
      <c r="K17"/>
      <c r="L17"/>
      <c r="O17"/>
    </row>
    <row r="18" spans="1:15" x14ac:dyDescent="0.45">
      <c r="A18" s="33">
        <f>ROW(TagTheAsset!$B18)-ROW(TagTheAsset!$A$1)</f>
        <v>17</v>
      </c>
      <c r="B18" t="str">
        <f>Table1[[#This Row],[Tagging No.]]</f>
        <v>MCFLPRI1016</v>
      </c>
      <c r="C18" t="s">
        <v>12</v>
      </c>
      <c r="D18" t="s">
        <v>18</v>
      </c>
      <c r="E18" t="str">
        <f>Table1[[#This Row],[Product]]</f>
        <v>Printer</v>
      </c>
      <c r="F18" t="str">
        <f>VLOOKUP(Table5[[#This Row],[Product]],Table6[],2,0)</f>
        <v>PRI</v>
      </c>
      <c r="G18"/>
      <c r="H18" t="s">
        <v>66</v>
      </c>
      <c r="I18" s="54" t="str">
        <f>Table1[[#This Row],[Product 
Serial Number]]</f>
        <v>CNBRT3P2DP</v>
      </c>
      <c r="J18" s="14" t="s">
        <v>67</v>
      </c>
      <c r="K18" t="s">
        <v>71</v>
      </c>
      <c r="L18" t="s">
        <v>92</v>
      </c>
      <c r="N18">
        <v>30476</v>
      </c>
      <c r="O18" t="s">
        <v>291</v>
      </c>
    </row>
    <row r="19" spans="1:15" x14ac:dyDescent="0.45">
      <c r="A19" s="33">
        <f>ROW(TagTheAsset!$B19)-ROW(TagTheAsset!$A$1)</f>
        <v>18</v>
      </c>
      <c r="B19" t="str">
        <f>Table1[[#This Row],[Tagging No.]]</f>
        <v>MCFLNVR1017</v>
      </c>
      <c r="C19" t="s">
        <v>12</v>
      </c>
      <c r="D19" t="s">
        <v>18</v>
      </c>
      <c r="E19" t="str">
        <f>Table1[[#This Row],[Product]]</f>
        <v>CCTV</v>
      </c>
      <c r="F19" t="str">
        <f>VLOOKUP(Table5[[#This Row],[Product]],Table6[],2,0)</f>
        <v>NVR</v>
      </c>
      <c r="G19"/>
      <c r="H19" t="s">
        <v>66</v>
      </c>
      <c r="I19" s="54" t="str">
        <f>Table1[[#This Row],[Product 
Serial Number]]</f>
        <v>FR1139376</v>
      </c>
      <c r="J19" s="14" t="s">
        <v>67</v>
      </c>
      <c r="K19" t="s">
        <v>68</v>
      </c>
      <c r="L19" t="s">
        <v>85</v>
      </c>
      <c r="N19">
        <v>30476</v>
      </c>
      <c r="O19" t="s">
        <v>291</v>
      </c>
    </row>
    <row r="20" spans="1:15" x14ac:dyDescent="0.45">
      <c r="A20" s="33">
        <f>ROW(TagTheAsset!$B20)-ROW(TagTheAsset!$A$1)</f>
        <v>19</v>
      </c>
      <c r="B20" t="str">
        <f>Table1[[#This Row],[Tagging No.]]</f>
        <v>MCFLCAM1018</v>
      </c>
      <c r="C20" t="s">
        <v>12</v>
      </c>
      <c r="D20" t="s">
        <v>18</v>
      </c>
      <c r="E20" t="str">
        <f>Table1[[#This Row],[Product]]</f>
        <v>CCTV Camera</v>
      </c>
      <c r="F20" t="str">
        <f>VLOOKUP(Table5[[#This Row],[Product]],Table6[],2,0)</f>
        <v>CAM</v>
      </c>
      <c r="G20"/>
      <c r="H20" t="s">
        <v>66</v>
      </c>
      <c r="I20" s="54" t="str">
        <f>Table1[[#This Row],[Product 
Serial Number]]</f>
        <v>AG9447112</v>
      </c>
      <c r="J20" s="14" t="s">
        <v>86</v>
      </c>
      <c r="K20" t="s">
        <v>292</v>
      </c>
      <c r="L20" t="s">
        <v>69</v>
      </c>
      <c r="N20">
        <v>34000</v>
      </c>
      <c r="O20" t="s">
        <v>236</v>
      </c>
    </row>
    <row r="21" spans="1:15" x14ac:dyDescent="0.45">
      <c r="A21" s="33">
        <f>ROW(TagTheAsset!$B21)-ROW(TagTheAsset!$A$1)</f>
        <v>20</v>
      </c>
      <c r="B21" t="str">
        <f>Table1[[#This Row],[Tagging No.]]</f>
        <v>MCFLCAM1019</v>
      </c>
      <c r="C21" t="s">
        <v>12</v>
      </c>
      <c r="D21" t="s">
        <v>18</v>
      </c>
      <c r="E21" t="str">
        <f>Table1[[#This Row],[Product]]</f>
        <v>CCTV Camera</v>
      </c>
      <c r="F21" t="str">
        <f>VLOOKUP(Table5[[#This Row],[Product]],Table6[],2,0)</f>
        <v>CAM</v>
      </c>
      <c r="G21"/>
      <c r="H21" t="s">
        <v>66</v>
      </c>
      <c r="I21" s="54" t="str">
        <f>Table1[[#This Row],[Product 
Serial Number]]</f>
        <v>AG9447439</v>
      </c>
      <c r="J21" s="14" t="s">
        <v>67</v>
      </c>
      <c r="K21" t="s">
        <v>78</v>
      </c>
      <c r="L21" t="s">
        <v>85</v>
      </c>
      <c r="N21">
        <v>30476</v>
      </c>
      <c r="O21" t="s">
        <v>291</v>
      </c>
    </row>
    <row r="22" spans="1:15" x14ac:dyDescent="0.45">
      <c r="A22" s="33">
        <f>ROW(TagTheAsset!$B22)-ROW(TagTheAsset!$A$1)</f>
        <v>21</v>
      </c>
      <c r="B22" t="str">
        <f>Table1[[#This Row],[Tagging No.]]</f>
        <v>MCFLCAM1020</v>
      </c>
      <c r="C22" t="s">
        <v>12</v>
      </c>
      <c r="D22" t="s">
        <v>18</v>
      </c>
      <c r="E22" t="str">
        <f>Table1[[#This Row],[Product]]</f>
        <v>CCTV Camera</v>
      </c>
      <c r="F22" t="str">
        <f>VLOOKUP(Table5[[#This Row],[Product]],Table6[],2,0)</f>
        <v>CAM</v>
      </c>
      <c r="G22"/>
      <c r="H22" t="s">
        <v>66</v>
      </c>
      <c r="I22" s="54" t="str">
        <f>Table1[[#This Row],[Product 
Serial Number]]</f>
        <v>AG9447209</v>
      </c>
      <c r="J22" s="14" t="s">
        <v>67</v>
      </c>
      <c r="K22" t="s">
        <v>68</v>
      </c>
      <c r="L22" t="s">
        <v>85</v>
      </c>
      <c r="N22">
        <v>30476</v>
      </c>
      <c r="O22" t="s">
        <v>291</v>
      </c>
    </row>
    <row r="23" spans="1:15" x14ac:dyDescent="0.45">
      <c r="A23" s="33">
        <f>ROW(TagTheAsset!$B23)-ROW(TagTheAsset!$A$1)</f>
        <v>22</v>
      </c>
      <c r="B23" t="str">
        <f>Table1[[#This Row],[Tagging No.]]</f>
        <v>MCFLCAM1021</v>
      </c>
      <c r="C23" t="s">
        <v>12</v>
      </c>
      <c r="D23" t="s">
        <v>18</v>
      </c>
      <c r="E23" t="str">
        <f>Table1[[#This Row],[Product]]</f>
        <v>CCTV Camera</v>
      </c>
      <c r="F23" t="str">
        <f>VLOOKUP(Table5[[#This Row],[Product]],Table6[],2,0)</f>
        <v>CAM</v>
      </c>
      <c r="G23"/>
      <c r="H23" t="s">
        <v>66</v>
      </c>
      <c r="I23" s="54" t="str">
        <f>Table1[[#This Row],[Product 
Serial Number]]</f>
        <v>AW0881697</v>
      </c>
      <c r="J23" s="14" t="s">
        <v>67</v>
      </c>
      <c r="K23" t="s">
        <v>68</v>
      </c>
      <c r="L23" t="s">
        <v>85</v>
      </c>
      <c r="N23">
        <v>30476</v>
      </c>
      <c r="O23" t="s">
        <v>291</v>
      </c>
    </row>
    <row r="24" spans="1:15" x14ac:dyDescent="0.45">
      <c r="A24" s="33">
        <f>ROW(TagTheAsset!$B24)-ROW(TagTheAsset!$A$1)</f>
        <v>23</v>
      </c>
      <c r="B24" t="str">
        <f>Table1[[#This Row],[Tagging No.]]</f>
        <v>MCFLCAM1022</v>
      </c>
      <c r="C24" t="s">
        <v>12</v>
      </c>
      <c r="D24" t="s">
        <v>18</v>
      </c>
      <c r="E24" t="str">
        <f>Table1[[#This Row],[Product]]</f>
        <v>CCTV Camera</v>
      </c>
      <c r="F24" t="str">
        <f>VLOOKUP(Table5[[#This Row],[Product]],Table6[],2,0)</f>
        <v>CAM</v>
      </c>
      <c r="G24"/>
      <c r="H24" t="s">
        <v>66</v>
      </c>
      <c r="I24" s="54" t="str">
        <f>Table1[[#This Row],[Product 
Serial Number]]</f>
        <v>AG9447461</v>
      </c>
      <c r="J24" s="14" t="s">
        <v>67</v>
      </c>
      <c r="K24" t="s">
        <v>68</v>
      </c>
      <c r="L24" t="s">
        <v>85</v>
      </c>
      <c r="N24">
        <v>30476</v>
      </c>
      <c r="O24" t="s">
        <v>291</v>
      </c>
    </row>
    <row r="25" spans="1:15" x14ac:dyDescent="0.45">
      <c r="A25" s="33">
        <f>ROW(TagTheAsset!$B25)-ROW(TagTheAsset!$A$1)</f>
        <v>24</v>
      </c>
      <c r="B25" t="str">
        <f>Table1[[#This Row],[Tagging No.]]</f>
        <v>MCFLCAM1023</v>
      </c>
      <c r="C25" t="s">
        <v>12</v>
      </c>
      <c r="D25" t="s">
        <v>18</v>
      </c>
      <c r="E25" t="str">
        <f>Table1[[#This Row],[Product]]</f>
        <v>CCTV Camera</v>
      </c>
      <c r="F25" t="str">
        <f>VLOOKUP(Table5[[#This Row],[Product]],Table6[],2,0)</f>
        <v>CAM</v>
      </c>
      <c r="G25"/>
      <c r="H25" t="s">
        <v>66</v>
      </c>
      <c r="I25" s="54" t="str">
        <f>Table1[[#This Row],[Product 
Serial Number]]</f>
        <v>AG9447455</v>
      </c>
      <c r="J25" s="14" t="s">
        <v>67</v>
      </c>
      <c r="K25" t="s">
        <v>68</v>
      </c>
      <c r="L25" t="s">
        <v>85</v>
      </c>
      <c r="N25">
        <v>30476</v>
      </c>
      <c r="O25" t="s">
        <v>291</v>
      </c>
    </row>
    <row r="26" spans="1:15" x14ac:dyDescent="0.45">
      <c r="A26" s="33">
        <f>ROW(TagTheAsset!$B26)-ROW(TagTheAsset!$A$1)</f>
        <v>25</v>
      </c>
      <c r="B26" t="str">
        <f>Table1[[#This Row],[Tagging No.]]</f>
        <v>MCFLAS1024</v>
      </c>
      <c r="C26" t="s">
        <v>12</v>
      </c>
      <c r="D26" t="s">
        <v>18</v>
      </c>
      <c r="E26" t="str">
        <f>Table1[[#This Row],[Product]]</f>
        <v>Alarm System</v>
      </c>
      <c r="F26" t="str">
        <f>VLOOKUP(Table5[[#This Row],[Product]],Table6[],2,0)</f>
        <v>AS</v>
      </c>
      <c r="G26"/>
      <c r="H26" t="s">
        <v>66</v>
      </c>
      <c r="I26" s="54" t="str">
        <f>Table1[[#This Row],[Product 
Serial Number]]</f>
        <v>Q34225152</v>
      </c>
      <c r="J26" s="14" t="s">
        <v>67</v>
      </c>
      <c r="K26" t="s">
        <v>78</v>
      </c>
      <c r="L26" t="s">
        <v>85</v>
      </c>
      <c r="N26">
        <v>30476</v>
      </c>
      <c r="O26" t="s">
        <v>291</v>
      </c>
    </row>
    <row r="27" spans="1:15" x14ac:dyDescent="0.45">
      <c r="A27" s="33">
        <f>ROW(TagTheAsset!$B27)-ROW(TagTheAsset!$A$1)</f>
        <v>26</v>
      </c>
      <c r="B27" t="str">
        <f>Table1[[#This Row],[Tagging No.]]</f>
        <v>MCFLSWI1025</v>
      </c>
      <c r="C27" t="s">
        <v>12</v>
      </c>
      <c r="D27" t="s">
        <v>18</v>
      </c>
      <c r="E27" t="str">
        <f>Table1[[#This Row],[Product]]</f>
        <v>Switch</v>
      </c>
      <c r="F27" t="str">
        <f>VLOOKUP(Table5[[#This Row],[Product]],Table6[],2,0)</f>
        <v>SWI</v>
      </c>
      <c r="G27"/>
      <c r="H27" t="s">
        <v>66</v>
      </c>
      <c r="I27" s="54" t="str">
        <f>Table1[[#This Row],[Product 
Serial Number]]</f>
        <v>22352F3003350</v>
      </c>
      <c r="J27" s="14" t="s">
        <v>100</v>
      </c>
      <c r="K27" t="s">
        <v>101</v>
      </c>
      <c r="L27" t="s">
        <v>83</v>
      </c>
      <c r="N27">
        <v>13000</v>
      </c>
      <c r="O27" t="s">
        <v>293</v>
      </c>
    </row>
    <row r="28" spans="1:15" x14ac:dyDescent="0.45">
      <c r="A28" s="33">
        <f>ROW(TagTheAsset!$B28)-ROW(TagTheAsset!$A$1)</f>
        <v>27</v>
      </c>
      <c r="B28" t="str">
        <f>Table1[[#This Row],[Tagging No.]]</f>
        <v>MCFLSWI1026</v>
      </c>
      <c r="C28" t="s">
        <v>12</v>
      </c>
      <c r="D28" t="s">
        <v>18</v>
      </c>
      <c r="E28" t="str">
        <f>Table1[[#This Row],[Product]]</f>
        <v>Switch</v>
      </c>
      <c r="F28" t="str">
        <f>VLOOKUP(Table5[[#This Row],[Product]],Table6[],2,0)</f>
        <v>SWI</v>
      </c>
      <c r="G28"/>
      <c r="H28" t="s">
        <v>66</v>
      </c>
      <c r="I28" s="54" t="str">
        <f>Table1[[#This Row],[Product 
Serial Number]]</f>
        <v>2025048231345</v>
      </c>
      <c r="J28" s="14" t="s">
        <v>67</v>
      </c>
      <c r="K28" t="s">
        <v>78</v>
      </c>
      <c r="L28" t="s">
        <v>85</v>
      </c>
      <c r="N28">
        <v>30476</v>
      </c>
      <c r="O28" t="s">
        <v>291</v>
      </c>
    </row>
    <row r="29" spans="1:15" x14ac:dyDescent="0.45">
      <c r="A29" s="33">
        <f>ROW(TagTheAsset!$B29)-ROW(TagTheAsset!$A$1)</f>
        <v>28</v>
      </c>
      <c r="B29" t="str">
        <f>Table1[[#This Row],[Tagging No.]]</f>
        <v>MCFLBIO1027</v>
      </c>
      <c r="C29" t="s">
        <v>12</v>
      </c>
      <c r="D29" t="s">
        <v>18</v>
      </c>
      <c r="E29" t="str">
        <f>Table1[[#This Row],[Product]]</f>
        <v>Biomax</v>
      </c>
      <c r="F29" t="str">
        <f>VLOOKUP(Table5[[#This Row],[Product]],Table6[],2,0)</f>
        <v>BIO</v>
      </c>
      <c r="G29"/>
      <c r="H29" t="s">
        <v>130</v>
      </c>
      <c r="I29" s="54" t="str">
        <f>Table1[[#This Row],[Product 
Serial Number]]</f>
        <v>AMDB24111500440</v>
      </c>
      <c r="J29" s="14" t="s">
        <v>130</v>
      </c>
      <c r="K29" t="s">
        <v>46</v>
      </c>
      <c r="L29"/>
      <c r="O29"/>
    </row>
    <row r="30" spans="1:15" x14ac:dyDescent="0.45">
      <c r="A30" s="33">
        <f>ROW(TagTheAsset!$B30)-ROW(TagTheAsset!$A$1)</f>
        <v>29</v>
      </c>
      <c r="B30" t="str">
        <f>Table1[[#This Row],[Tagging No.]]</f>
        <v>MCFLBIO1028</v>
      </c>
      <c r="C30" t="s">
        <v>12</v>
      </c>
      <c r="D30" t="s">
        <v>18</v>
      </c>
      <c r="E30" t="str">
        <f>Table1[[#This Row],[Product]]</f>
        <v>Biomax</v>
      </c>
      <c r="F30" t="str">
        <f>VLOOKUP(Table5[[#This Row],[Product]],Table6[],2,0)</f>
        <v>BIO</v>
      </c>
      <c r="G30"/>
      <c r="H30" t="s">
        <v>103</v>
      </c>
      <c r="I30" s="54" t="str">
        <f>Table1[[#This Row],[Product 
Serial Number]]</f>
        <v>C263449807121C24</v>
      </c>
      <c r="J30" s="14" t="s">
        <v>104</v>
      </c>
      <c r="K30" t="s">
        <v>106</v>
      </c>
      <c r="L30"/>
      <c r="O30"/>
    </row>
    <row r="31" spans="1:15" x14ac:dyDescent="0.45">
      <c r="A31" s="33">
        <f>ROW(TagTheAsset!$B31)-ROW(TagTheAsset!$A$1)</f>
        <v>30</v>
      </c>
      <c r="B31" t="str">
        <f>Table1[[#This Row],[Tagging No.]]</f>
        <v>MCFLCAM1029</v>
      </c>
      <c r="C31" t="s">
        <v>12</v>
      </c>
      <c r="D31" t="s">
        <v>18</v>
      </c>
      <c r="E31" t="str">
        <f>Table1[[#This Row],[Product]]</f>
        <v>CCTV Camera</v>
      </c>
      <c r="F31" t="str">
        <f>VLOOKUP(Table5[[#This Row],[Product]],Table6[],2,0)</f>
        <v>CAM</v>
      </c>
      <c r="G31"/>
      <c r="H31" t="s">
        <v>130</v>
      </c>
      <c r="I31" s="54" t="str">
        <f>Table1[[#This Row],[Product 
Serial Number]]</f>
        <v>AG9447454</v>
      </c>
      <c r="J31" s="14" t="s">
        <v>130</v>
      </c>
      <c r="K31" t="s">
        <v>46</v>
      </c>
      <c r="L31"/>
      <c r="O31"/>
    </row>
    <row r="32" spans="1:15" x14ac:dyDescent="0.45">
      <c r="A32" s="33">
        <f>ROW(TagTheAsset!$B32)-ROW(TagTheAsset!$A$1)</f>
        <v>31</v>
      </c>
      <c r="B32" t="str">
        <f>Table1[[#This Row],[Tagging No.]]</f>
        <v>MCFLSWI1030</v>
      </c>
      <c r="C32" t="s">
        <v>12</v>
      </c>
      <c r="D32" t="s">
        <v>18</v>
      </c>
      <c r="E32" t="str">
        <f>Table1[[#This Row],[Product]]</f>
        <v>Switch</v>
      </c>
      <c r="F32" t="str">
        <f>VLOOKUP(Table5[[#This Row],[Product]],Table6[],2,0)</f>
        <v>SWI</v>
      </c>
      <c r="G32"/>
      <c r="H32" t="s">
        <v>130</v>
      </c>
      <c r="I32" s="54">
        <f>Table1[[#This Row],[Product 
Serial Number]]</f>
        <v>0</v>
      </c>
      <c r="J32" s="14" t="s">
        <v>130</v>
      </c>
      <c r="K32" t="s">
        <v>107</v>
      </c>
      <c r="L32"/>
      <c r="O32"/>
    </row>
    <row r="33" spans="1:15" x14ac:dyDescent="0.45">
      <c r="A33" s="33">
        <f>ROW(TagTheAsset!$B33)-ROW(TagTheAsset!$A$1)</f>
        <v>32</v>
      </c>
      <c r="B33" t="str">
        <f>Table1[[#This Row],[Tagging No.]]</f>
        <v>MCFLLP1031</v>
      </c>
      <c r="C33" t="s">
        <v>12</v>
      </c>
      <c r="D33" t="s">
        <v>18</v>
      </c>
      <c r="E33" t="str">
        <f>Table1[[#This Row],[Product]]</f>
        <v>Laptop</v>
      </c>
      <c r="F33" t="str">
        <f>VLOOKUP(Table5[[#This Row],[Product]],Table6[],2,0)</f>
        <v>LP</v>
      </c>
      <c r="G33"/>
      <c r="H33" t="s">
        <v>103</v>
      </c>
      <c r="I33" s="54" t="str">
        <f>Table1[[#This Row],[Product 
Serial Number]]</f>
        <v>CY42Z64</v>
      </c>
      <c r="J33" s="14" t="s">
        <v>104</v>
      </c>
      <c r="K33" t="s">
        <v>46</v>
      </c>
      <c r="L33"/>
      <c r="O33"/>
    </row>
    <row r="34" spans="1:15" x14ac:dyDescent="0.45">
      <c r="A34" s="33">
        <f>ROW(TagTheAsset!$B34)-ROW(TagTheAsset!$A$1)</f>
        <v>33</v>
      </c>
      <c r="B34" t="str">
        <f>Table1[[#This Row],[Tagging No.]]</f>
        <v>MCFLADP1032</v>
      </c>
      <c r="C34" t="s">
        <v>12</v>
      </c>
      <c r="D34" t="s">
        <v>18</v>
      </c>
      <c r="E34" t="str">
        <f>Table1[[#This Row],[Product]]</f>
        <v>Adaptor</v>
      </c>
      <c r="F34" t="str">
        <f>VLOOKUP(Table5[[#This Row],[Product]],Table6[],2,0)</f>
        <v>ADP</v>
      </c>
      <c r="G34"/>
      <c r="H34" t="s">
        <v>103</v>
      </c>
      <c r="I34" s="54" t="str">
        <f>Table1[[#This Row],[Product 
Serial Number]]</f>
        <v>CN-07JHD3-CH600-4AE-0AZI-A02</v>
      </c>
      <c r="J34" s="14" t="s">
        <v>104</v>
      </c>
      <c r="K34" t="s">
        <v>46</v>
      </c>
      <c r="L34"/>
      <c r="O34"/>
    </row>
    <row r="35" spans="1:15" x14ac:dyDescent="0.45">
      <c r="A35" s="33">
        <f>ROW(TagTheAsset!$B35)-ROW(TagTheAsset!$A$1)</f>
        <v>34</v>
      </c>
      <c r="B35" t="str">
        <f>Table1[[#This Row],[Tagging No.]]</f>
        <v>MCFLLP1033</v>
      </c>
      <c r="C35" t="s">
        <v>12</v>
      </c>
      <c r="D35" t="s">
        <v>18</v>
      </c>
      <c r="E35" t="str">
        <f>Table1[[#This Row],[Product]]</f>
        <v>Laptop</v>
      </c>
      <c r="F35" t="str">
        <f>VLOOKUP(Table5[[#This Row],[Product]],Table6[],2,0)</f>
        <v>LP</v>
      </c>
      <c r="G35"/>
      <c r="H35" t="s">
        <v>130</v>
      </c>
      <c r="I35" s="54" t="str">
        <f>Table1[[#This Row],[Product 
Serial Number]]</f>
        <v>G5MDT74</v>
      </c>
      <c r="J35" s="14" t="s">
        <v>130</v>
      </c>
      <c r="K35" t="s">
        <v>110</v>
      </c>
      <c r="L35"/>
      <c r="O35"/>
    </row>
    <row r="36" spans="1:15" x14ac:dyDescent="0.45">
      <c r="A36" s="33">
        <f>ROW(TagTheAsset!$B36)-ROW(TagTheAsset!$A$1)</f>
        <v>35</v>
      </c>
      <c r="B36" t="str">
        <f>Table1[[#This Row],[Tagging No.]]</f>
        <v>MCFLADP1034</v>
      </c>
      <c r="C36" t="s">
        <v>12</v>
      </c>
      <c r="D36" t="s">
        <v>18</v>
      </c>
      <c r="E36" t="str">
        <f>Table1[[#This Row],[Product]]</f>
        <v>Adaptor</v>
      </c>
      <c r="F36" t="str">
        <f>VLOOKUP(Table5[[#This Row],[Product]],Table6[],2,0)</f>
        <v>ADP</v>
      </c>
      <c r="G36"/>
      <c r="H36" t="s">
        <v>103</v>
      </c>
      <c r="I36" s="54" t="str">
        <f>Table1[[#This Row],[Product 
Serial Number]]</f>
        <v>CN-07JHD3-CH600-4C9-0HW0-A02</v>
      </c>
      <c r="J36" s="14" t="s">
        <v>104</v>
      </c>
      <c r="K36"/>
      <c r="L36"/>
      <c r="O36"/>
    </row>
    <row r="37" spans="1:15" x14ac:dyDescent="0.45">
      <c r="A37" s="33">
        <f>ROW(TagTheAsset!$B37)-ROW(TagTheAsset!$A$1)</f>
        <v>36</v>
      </c>
      <c r="B37" t="str">
        <f>Table1[[#This Row],[Tagging No.]]</f>
        <v>MCFLLP1035</v>
      </c>
      <c r="C37" t="s">
        <v>12</v>
      </c>
      <c r="D37" t="s">
        <v>18</v>
      </c>
      <c r="E37" t="str">
        <f>Table1[[#This Row],[Product]]</f>
        <v>Laptop</v>
      </c>
      <c r="F37" t="str">
        <f>VLOOKUP(Table5[[#This Row],[Product]],Table6[],2,0)</f>
        <v>LP</v>
      </c>
      <c r="G37"/>
      <c r="H37" t="s">
        <v>103</v>
      </c>
      <c r="I37" s="54" t="str">
        <f>Table1[[#This Row],[Product 
Serial Number]]</f>
        <v>3NVHY64</v>
      </c>
      <c r="J37" s="14" t="s">
        <v>104</v>
      </c>
      <c r="K37" t="s">
        <v>113</v>
      </c>
      <c r="L37"/>
      <c r="O37"/>
    </row>
    <row r="38" spans="1:15" x14ac:dyDescent="0.45">
      <c r="A38" s="33">
        <f>ROW(TagTheAsset!$B38)-ROW(TagTheAsset!$A$1)</f>
        <v>37</v>
      </c>
      <c r="B38" t="str">
        <f>Table1[[#This Row],[Tagging No.]]</f>
        <v>MCFLADP1036</v>
      </c>
      <c r="C38" t="s">
        <v>12</v>
      </c>
      <c r="D38" t="s">
        <v>18</v>
      </c>
      <c r="E38" t="str">
        <f>Table1[[#This Row],[Product]]</f>
        <v>Adaptor</v>
      </c>
      <c r="F38" t="str">
        <f>VLOOKUP(Table5[[#This Row],[Product]],Table6[],2,0)</f>
        <v>ADP</v>
      </c>
      <c r="G38"/>
      <c r="H38" t="s">
        <v>103</v>
      </c>
      <c r="I38" s="54" t="str">
        <f>Table1[[#This Row],[Product 
Serial Number]]</f>
        <v>CN-03PHNW-LOC00-4AI-0BB3-A02</v>
      </c>
      <c r="J38" s="14" t="s">
        <v>104</v>
      </c>
      <c r="K38" t="s">
        <v>115</v>
      </c>
      <c r="L38"/>
      <c r="O38"/>
    </row>
    <row r="39" spans="1:15" x14ac:dyDescent="0.45">
      <c r="A39" s="33">
        <f>ROW(TagTheAsset!$B39)-ROW(TagTheAsset!$A$1)</f>
        <v>38</v>
      </c>
      <c r="B39" t="str">
        <f>Table1[[#This Row],[Tagging No.]]</f>
        <v>MCFLLP1037</v>
      </c>
      <c r="C39" t="s">
        <v>12</v>
      </c>
      <c r="D39" t="s">
        <v>18</v>
      </c>
      <c r="E39" t="str">
        <f>Table1[[#This Row],[Product]]</f>
        <v>Laptop</v>
      </c>
      <c r="F39" t="str">
        <f>VLOOKUP(Table5[[#This Row],[Product]],Table6[],2,0)</f>
        <v>LP</v>
      </c>
      <c r="G39"/>
      <c r="H39" t="s">
        <v>103</v>
      </c>
      <c r="I39" s="54" t="str">
        <f>Table1[[#This Row],[Product 
Serial Number]]</f>
        <v>58WVX64</v>
      </c>
      <c r="J39" s="14" t="s">
        <v>104</v>
      </c>
      <c r="K39" t="s">
        <v>106</v>
      </c>
      <c r="L39"/>
      <c r="O39"/>
    </row>
    <row r="40" spans="1:15" x14ac:dyDescent="0.45">
      <c r="A40" s="33">
        <f>ROW(TagTheAsset!$B40)-ROW(TagTheAsset!$A$1)</f>
        <v>39</v>
      </c>
      <c r="B40" t="str">
        <f>Table1[[#This Row],[Tagging No.]]</f>
        <v>MCFLADP1038</v>
      </c>
      <c r="C40" t="s">
        <v>12</v>
      </c>
      <c r="D40" t="s">
        <v>18</v>
      </c>
      <c r="E40" t="str">
        <f>Table1[[#This Row],[Product]]</f>
        <v>Adaptor</v>
      </c>
      <c r="F40" t="str">
        <f>VLOOKUP(Table5[[#This Row],[Product]],Table6[],2,0)</f>
        <v>ADP</v>
      </c>
      <c r="G40"/>
      <c r="H40" t="s">
        <v>130</v>
      </c>
      <c r="I40" s="54" t="str">
        <f>Table1[[#This Row],[Product 
Serial Number]]</f>
        <v>CN-0G4G24-DES00-495-EMOI-A02</v>
      </c>
      <c r="J40" s="14" t="s">
        <v>130</v>
      </c>
      <c r="K40"/>
      <c r="L40"/>
      <c r="O40"/>
    </row>
    <row r="41" spans="1:15" x14ac:dyDescent="0.45">
      <c r="A41" s="33">
        <f>ROW(TagTheAsset!$B41)-ROW(TagTheAsset!$A$1)</f>
        <v>40</v>
      </c>
      <c r="B41" t="str">
        <f>Table1[[#This Row],[Tagging No.]]</f>
        <v>MCFLLP1039</v>
      </c>
      <c r="C41" t="s">
        <v>12</v>
      </c>
      <c r="D41" t="s">
        <v>18</v>
      </c>
      <c r="E41" t="str">
        <f>Table1[[#This Row],[Product]]</f>
        <v>Laptop</v>
      </c>
      <c r="F41" t="str">
        <f>VLOOKUP(Table5[[#This Row],[Product]],Table6[],2,0)</f>
        <v>LP</v>
      </c>
      <c r="G41"/>
      <c r="H41" t="s">
        <v>103</v>
      </c>
      <c r="I41" s="54" t="str">
        <f>Table1[[#This Row],[Product 
Serial Number]]</f>
        <v>4ZSC864</v>
      </c>
      <c r="J41" s="14" t="s">
        <v>104</v>
      </c>
      <c r="K41" t="s">
        <v>46</v>
      </c>
      <c r="L41"/>
      <c r="O41"/>
    </row>
    <row r="42" spans="1:15" x14ac:dyDescent="0.45">
      <c r="A42" s="33">
        <f>ROW(TagTheAsset!$B42)-ROW(TagTheAsset!$A$1)</f>
        <v>41</v>
      </c>
      <c r="B42" t="str">
        <f>Table1[[#This Row],[Tagging No.]]</f>
        <v>MCFLADP1040</v>
      </c>
      <c r="C42" t="s">
        <v>12</v>
      </c>
      <c r="D42" t="s">
        <v>18</v>
      </c>
      <c r="E42" t="str">
        <f>Table1[[#This Row],[Product]]</f>
        <v>Adaptor</v>
      </c>
      <c r="F42" t="str">
        <f>VLOOKUP(Table5[[#This Row],[Product]],Table6[],2,0)</f>
        <v>ADP</v>
      </c>
      <c r="G42"/>
      <c r="H42" t="s">
        <v>103</v>
      </c>
      <c r="I42" s="54" t="str">
        <f>Table1[[#This Row],[Product 
Serial Number]]</f>
        <v>CN-07JHD3-CH600-494-0UUN-A02</v>
      </c>
      <c r="J42" s="14" t="s">
        <v>104</v>
      </c>
      <c r="K42" t="s">
        <v>46</v>
      </c>
      <c r="L42"/>
      <c r="O42"/>
    </row>
    <row r="43" spans="1:15" x14ac:dyDescent="0.45">
      <c r="A43" s="33">
        <f>ROW(TagTheAsset!$B43)-ROW(TagTheAsset!$A$1)</f>
        <v>42</v>
      </c>
      <c r="B43" t="str">
        <f>Table1[[#This Row],[Tagging No.]]</f>
        <v>MCFLLP1041</v>
      </c>
      <c r="C43" t="s">
        <v>12</v>
      </c>
      <c r="D43" t="s">
        <v>18</v>
      </c>
      <c r="E43" t="str">
        <f>Table1[[#This Row],[Product]]</f>
        <v>Laptop</v>
      </c>
      <c r="F43" t="str">
        <f>VLOOKUP(Table5[[#This Row],[Product]],Table6[],2,0)</f>
        <v>LP</v>
      </c>
      <c r="G43"/>
      <c r="H43" t="s">
        <v>103</v>
      </c>
      <c r="I43" s="54" t="str">
        <f>Table1[[#This Row],[Product 
Serial Number]]</f>
        <v>G9WVX64</v>
      </c>
      <c r="J43" s="14" t="s">
        <v>104</v>
      </c>
      <c r="K43" t="s">
        <v>106</v>
      </c>
      <c r="L43"/>
      <c r="O43"/>
    </row>
    <row r="44" spans="1:15" x14ac:dyDescent="0.45">
      <c r="A44" s="33">
        <f>ROW(TagTheAsset!$B44)-ROW(TagTheAsset!$A$1)</f>
        <v>43</v>
      </c>
      <c r="B44" t="str">
        <f>Table1[[#This Row],[Tagging No.]]</f>
        <v>MCFLADP1042</v>
      </c>
      <c r="C44" t="s">
        <v>12</v>
      </c>
      <c r="D44" t="s">
        <v>18</v>
      </c>
      <c r="E44" t="str">
        <f>Table1[[#This Row],[Product]]</f>
        <v>Adaptor</v>
      </c>
      <c r="F44" t="str">
        <f>VLOOKUP(Table5[[#This Row],[Product]],Table6[],2,0)</f>
        <v>ADP</v>
      </c>
      <c r="G44"/>
      <c r="H44" t="s">
        <v>103</v>
      </c>
      <c r="I44" s="54" t="str">
        <f>Table1[[#This Row],[Product 
Serial Number]]</f>
        <v>CN-0G4G24-DES00-495-EMOP-A02</v>
      </c>
      <c r="J44" s="14" t="s">
        <v>104</v>
      </c>
      <c r="K44"/>
      <c r="L44"/>
      <c r="O44"/>
    </row>
    <row r="45" spans="1:15" x14ac:dyDescent="0.45">
      <c r="A45" s="33">
        <f>ROW(TagTheAsset!$B45)-ROW(TagTheAsset!$A$1)</f>
        <v>44</v>
      </c>
      <c r="B45" t="e">
        <f>Table1[[#This Row],[Tagging No.]]</f>
        <v>#N/A</v>
      </c>
      <c r="C45"/>
      <c r="D45"/>
      <c r="E45">
        <f>Table1[[#This Row],[Product]]</f>
        <v>0</v>
      </c>
      <c r="G45"/>
      <c r="H45"/>
      <c r="I45" s="54">
        <f>Table1[[#This Row],[Product 
Serial Number]]</f>
        <v>0</v>
      </c>
      <c r="K45"/>
      <c r="L45"/>
      <c r="O45"/>
    </row>
    <row r="46" spans="1:15" x14ac:dyDescent="0.45">
      <c r="A46" s="33">
        <f>ROW(TagTheAsset!$B46)-ROW(TagTheAsset!$A$1)</f>
        <v>45</v>
      </c>
      <c r="B46" t="e">
        <f>Table1[[#This Row],[Tagging No.]]</f>
        <v>#N/A</v>
      </c>
      <c r="C46"/>
      <c r="D46"/>
      <c r="E46">
        <f>Table1[[#This Row],[Product]]</f>
        <v>0</v>
      </c>
      <c r="G46"/>
      <c r="H46"/>
      <c r="I46" s="54">
        <f>Table1[[#This Row],[Product 
Serial Number]]</f>
        <v>0</v>
      </c>
      <c r="K46"/>
      <c r="L46"/>
      <c r="O46"/>
    </row>
    <row r="47" spans="1:15" x14ac:dyDescent="0.45">
      <c r="A47" s="33">
        <f>ROW(TagTheAsset!$B47)-ROW(TagTheAsset!$A$1)</f>
        <v>46</v>
      </c>
      <c r="B47" t="e">
        <f>Table1[[#This Row],[Tagging No.]]</f>
        <v>#N/A</v>
      </c>
      <c r="C47"/>
      <c r="D47"/>
      <c r="E47">
        <f>Table1[[#This Row],[Product]]</f>
        <v>0</v>
      </c>
      <c r="G47"/>
      <c r="H47"/>
      <c r="I47" s="54">
        <f>Table1[[#This Row],[Product 
Serial Number]]</f>
        <v>0</v>
      </c>
      <c r="K47"/>
      <c r="L47"/>
      <c r="O47"/>
    </row>
    <row r="48" spans="1:15" x14ac:dyDescent="0.45">
      <c r="A48" s="33">
        <f>ROW(TagTheAsset!$B48)-ROW(TagTheAsset!$A$1)</f>
        <v>47</v>
      </c>
      <c r="B48" t="e">
        <f>Table1[[#This Row],[Tagging No.]]</f>
        <v>#N/A</v>
      </c>
      <c r="C48"/>
      <c r="D48"/>
      <c r="E48">
        <f>Table1[[#This Row],[Product]]</f>
        <v>0</v>
      </c>
      <c r="G48"/>
      <c r="H48"/>
      <c r="I48" s="54">
        <f>Table1[[#This Row],[Product 
Serial Number]]</f>
        <v>0</v>
      </c>
      <c r="K48"/>
      <c r="L48"/>
      <c r="O48"/>
    </row>
    <row r="49" spans="1:15" x14ac:dyDescent="0.45">
      <c r="A49" s="33">
        <f>ROW(TagTheAsset!$B49)-ROW(TagTheAsset!$A$1)</f>
        <v>48</v>
      </c>
      <c r="B49" t="e">
        <f>Table1[[#This Row],[Tagging No.]]</f>
        <v>#N/A</v>
      </c>
      <c r="C49"/>
      <c r="D49"/>
      <c r="E49">
        <f>Table1[[#This Row],[Product]]</f>
        <v>0</v>
      </c>
      <c r="G49"/>
      <c r="H49"/>
      <c r="I49" s="54">
        <f>Table1[[#This Row],[Product 
Serial Number]]</f>
        <v>0</v>
      </c>
      <c r="K49"/>
      <c r="L49"/>
      <c r="O49"/>
    </row>
    <row r="50" spans="1:15" x14ac:dyDescent="0.45">
      <c r="A50" s="33">
        <f>ROW(TagTheAsset!$B50)-ROW(TagTheAsset!$A$1)</f>
        <v>49</v>
      </c>
      <c r="B50" t="e">
        <f>Table1[[#This Row],[Tagging No.]]</f>
        <v>#N/A</v>
      </c>
      <c r="C50"/>
      <c r="D50"/>
      <c r="E50">
        <f>Table1[[#This Row],[Product]]</f>
        <v>0</v>
      </c>
      <c r="G50"/>
      <c r="H50"/>
      <c r="I50" s="54">
        <f>Table1[[#This Row],[Product 
Serial Number]]</f>
        <v>0</v>
      </c>
      <c r="K50"/>
      <c r="L50"/>
      <c r="O50"/>
    </row>
    <row r="51" spans="1:15" x14ac:dyDescent="0.45">
      <c r="A51" s="33">
        <f>ROW(TagTheAsset!$B51)-ROW(TagTheAsset!$A$1)</f>
        <v>50</v>
      </c>
      <c r="B51" t="e">
        <f>Table1[[#This Row],[Tagging No.]]</f>
        <v>#N/A</v>
      </c>
      <c r="C51"/>
      <c r="D51"/>
      <c r="E51">
        <f>Table1[[#This Row],[Product]]</f>
        <v>0</v>
      </c>
      <c r="G51"/>
      <c r="H51"/>
      <c r="I51" s="54">
        <f>Table1[[#This Row],[Product 
Serial Number]]</f>
        <v>0</v>
      </c>
      <c r="K51"/>
      <c r="L51"/>
      <c r="O51"/>
    </row>
    <row r="52" spans="1:15" x14ac:dyDescent="0.45">
      <c r="A52" s="33">
        <f>ROW(TagTheAsset!$B52)-ROW(TagTheAsset!$A$1)</f>
        <v>51</v>
      </c>
      <c r="B52" t="e">
        <f>Table1[[#This Row],[Tagging No.]]</f>
        <v>#VALUE!</v>
      </c>
      <c r="C52"/>
      <c r="D52"/>
      <c r="E52"/>
      <c r="F52" s="67" t="e">
        <f>VLOOKUP(Table5[[#This Row],[Product]],Table6[],2,0)</f>
        <v>#N/A</v>
      </c>
      <c r="G52"/>
      <c r="H52"/>
      <c r="I52" s="68" t="e">
        <f>VLOOKUP(Table5[[#This Row],[Tag No.]],#REF!,2,0)</f>
        <v>#VALUE!</v>
      </c>
      <c r="K52"/>
      <c r="L52"/>
      <c r="O52"/>
    </row>
    <row r="53" spans="1:15" x14ac:dyDescent="0.45">
      <c r="A53" s="33">
        <f>ROW(TagTheAsset!$B53)-ROW(TagTheAsset!$A$1)</f>
        <v>52</v>
      </c>
      <c r="B53"/>
      <c r="C53"/>
      <c r="D53"/>
      <c r="E53"/>
      <c r="G53"/>
      <c r="H53"/>
      <c r="I53" s="54"/>
      <c r="K53"/>
      <c r="L53"/>
      <c r="O53"/>
    </row>
  </sheetData>
  <conditionalFormatting sqref="I15">
    <cfRule type="duplicateValues" dxfId="10" priority="4"/>
  </conditionalFormatting>
  <conditionalFormatting sqref="I17">
    <cfRule type="duplicateValues" dxfId="9" priority="3"/>
  </conditionalFormatting>
  <conditionalFormatting sqref="I42">
    <cfRule type="duplicateValues" dxfId="8" priority="2"/>
  </conditionalFormatting>
  <conditionalFormatting sqref="I44">
    <cfRule type="duplicateValues" dxfId="7" priority="1"/>
  </conditionalFormatting>
  <conditionalFormatting sqref="I2:I53">
    <cfRule type="duplicateValues" dxfId="6" priority="384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DropDown="1" showInputMessage="1" showErrorMessage="1" xr:uid="{00000000-0002-0000-0200-000003000000}">
          <x14:formula1>
            <xm:f>Validations!$D$2:$D$20</xm:f>
          </x14:formula1>
          <xm:sqref>E1 E54:E1048576</xm:sqref>
        </x14:dataValidation>
        <x14:dataValidation type="list" allowBlank="1" showDropDown="1" showInputMessage="1" showErrorMessage="1" xr:uid="{2A01BE1C-CC67-4EBA-A801-0FC55098FDC3}">
          <x14:formula1>
            <xm:f>Validations!$D$2:$D$36</xm:f>
          </x14:formula1>
          <xm:sqref>E2:E53</xm:sqref>
        </x14:dataValidation>
        <x14:dataValidation type="list" allowBlank="1" showInputMessage="1" showErrorMessage="1" xr:uid="{00000000-0002-0000-0200-000001000000}">
          <x14:formula1>
            <xm:f>Validations!$J$2:$J$3</xm:f>
          </x14:formula1>
          <xm:sqref>C1:C1048576</xm:sqref>
        </x14:dataValidation>
        <x14:dataValidation type="list" allowBlank="1" showInputMessage="1" showErrorMessage="1" xr:uid="{00000000-0002-0000-0200-000002000000}">
          <x14:formula1>
            <xm:f>Validations!$L$2:$L$3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9"/>
  <sheetViews>
    <sheetView workbookViewId="0">
      <selection activeCell="F6" sqref="F6"/>
    </sheetView>
  </sheetViews>
  <sheetFormatPr defaultRowHeight="14.25" x14ac:dyDescent="0.45"/>
  <cols>
    <col min="1" max="1" width="8.59765625" customWidth="1"/>
    <col min="2" max="3" width="20.265625" bestFit="1" customWidth="1"/>
    <col min="4" max="4" width="12.3984375" customWidth="1"/>
    <col min="5" max="5" width="17.265625" customWidth="1"/>
    <col min="6" max="6" width="30.59765625" customWidth="1"/>
    <col min="7" max="7" width="17.73046875" customWidth="1"/>
    <col min="8" max="8" width="22" customWidth="1"/>
    <col min="9" max="9" width="18.73046875" customWidth="1"/>
    <col min="10" max="10" width="13" customWidth="1"/>
    <col min="11" max="11" width="18.1328125" customWidth="1"/>
    <col min="12" max="12" width="15.86328125" customWidth="1"/>
    <col min="13" max="13" width="17.86328125" customWidth="1"/>
    <col min="14" max="14" width="14.265625" bestFit="1" customWidth="1"/>
  </cols>
  <sheetData>
    <row r="1" spans="1:14" ht="28.5" x14ac:dyDescent="0.45">
      <c r="A1" s="12" t="s">
        <v>55</v>
      </c>
      <c r="B1" s="12" t="s">
        <v>56</v>
      </c>
      <c r="C1" s="12" t="s">
        <v>225</v>
      </c>
      <c r="D1" s="13" t="s">
        <v>226</v>
      </c>
      <c r="E1" s="16" t="s">
        <v>7</v>
      </c>
      <c r="F1" s="11" t="s">
        <v>227</v>
      </c>
      <c r="G1" s="11" t="s">
        <v>228</v>
      </c>
      <c r="H1" s="11" t="s">
        <v>229</v>
      </c>
      <c r="I1" s="11" t="s">
        <v>230</v>
      </c>
      <c r="J1" s="11" t="s">
        <v>231</v>
      </c>
      <c r="K1" s="11" t="s">
        <v>232</v>
      </c>
      <c r="L1" s="11" t="s">
        <v>233</v>
      </c>
      <c r="M1" s="11" t="s">
        <v>234</v>
      </c>
      <c r="N1" s="15" t="s">
        <v>235</v>
      </c>
    </row>
    <row r="2" spans="1:14" x14ac:dyDescent="0.45">
      <c r="A2" s="1">
        <v>1</v>
      </c>
      <c r="B2" t="s">
        <v>65</v>
      </c>
      <c r="C2" t="s">
        <v>65</v>
      </c>
      <c r="D2" s="62">
        <v>44059</v>
      </c>
      <c r="E2" s="1" t="s">
        <v>19</v>
      </c>
      <c r="F2" s="1" t="s">
        <v>11</v>
      </c>
      <c r="G2" s="1" t="s">
        <v>11</v>
      </c>
      <c r="H2" s="1" t="s">
        <v>11</v>
      </c>
      <c r="I2" s="1" t="s">
        <v>45</v>
      </c>
      <c r="J2" s="2" t="s">
        <v>316</v>
      </c>
      <c r="K2" s="1"/>
      <c r="L2" s="1" t="s">
        <v>236</v>
      </c>
      <c r="M2" s="1"/>
      <c r="N2" s="1" t="s">
        <v>269</v>
      </c>
    </row>
    <row r="3" spans="1:14" x14ac:dyDescent="0.45">
      <c r="A3" s="1">
        <f t="shared" ref="A3:A66" si="0">A2+1</f>
        <v>2</v>
      </c>
      <c r="B3" t="s">
        <v>70</v>
      </c>
      <c r="C3" t="s">
        <v>70</v>
      </c>
      <c r="D3" s="62">
        <v>41542</v>
      </c>
      <c r="E3" s="1" t="s">
        <v>14</v>
      </c>
      <c r="F3" s="1"/>
      <c r="G3" s="1"/>
      <c r="H3" s="1"/>
      <c r="I3" s="1"/>
      <c r="J3" s="1"/>
      <c r="K3" s="1"/>
      <c r="L3" s="1" t="s">
        <v>236</v>
      </c>
      <c r="M3" s="1"/>
      <c r="N3" s="1"/>
    </row>
    <row r="4" spans="1:14" x14ac:dyDescent="0.45">
      <c r="A4" s="1">
        <f t="shared" si="0"/>
        <v>3</v>
      </c>
      <c r="B4" t="s">
        <v>73</v>
      </c>
      <c r="C4" t="s">
        <v>73</v>
      </c>
      <c r="D4" s="62">
        <v>44059</v>
      </c>
      <c r="E4" s="1" t="s">
        <v>19</v>
      </c>
      <c r="F4" s="1"/>
      <c r="G4" s="1"/>
      <c r="H4" s="1"/>
      <c r="I4" s="1"/>
      <c r="J4" s="1"/>
      <c r="K4" s="1"/>
      <c r="L4" s="1" t="s">
        <v>237</v>
      </c>
      <c r="M4" s="1"/>
      <c r="N4" s="1"/>
    </row>
    <row r="5" spans="1:14" x14ac:dyDescent="0.45">
      <c r="A5" s="1">
        <f t="shared" si="0"/>
        <v>4</v>
      </c>
      <c r="B5" t="s">
        <v>74</v>
      </c>
      <c r="C5" t="s">
        <v>74</v>
      </c>
      <c r="D5" s="62">
        <v>44059</v>
      </c>
      <c r="E5" s="1" t="s">
        <v>19</v>
      </c>
      <c r="F5" s="1"/>
      <c r="G5" s="1"/>
      <c r="H5" s="1"/>
      <c r="I5" s="1"/>
      <c r="J5" s="1"/>
      <c r="K5" s="1"/>
      <c r="L5" s="1"/>
      <c r="M5" s="1"/>
      <c r="N5" s="1"/>
    </row>
    <row r="6" spans="1:14" x14ac:dyDescent="0.45">
      <c r="A6" s="1">
        <f t="shared" si="0"/>
        <v>5</v>
      </c>
      <c r="B6" t="s">
        <v>75</v>
      </c>
      <c r="C6" t="s">
        <v>75</v>
      </c>
      <c r="D6" s="62">
        <v>41542</v>
      </c>
      <c r="E6" s="1" t="s">
        <v>14</v>
      </c>
      <c r="F6" s="1"/>
      <c r="G6" s="1"/>
      <c r="H6" s="1"/>
      <c r="I6" s="1"/>
      <c r="J6" s="1"/>
      <c r="K6" s="1"/>
      <c r="L6" s="1"/>
      <c r="M6" s="1"/>
      <c r="N6" s="1"/>
    </row>
    <row r="7" spans="1:14" x14ac:dyDescent="0.45">
      <c r="A7" s="1">
        <f t="shared" si="0"/>
        <v>6</v>
      </c>
      <c r="B7" t="s">
        <v>76</v>
      </c>
      <c r="C7" t="s">
        <v>76</v>
      </c>
      <c r="D7" s="62">
        <v>41542</v>
      </c>
      <c r="E7" s="1" t="s">
        <v>14</v>
      </c>
      <c r="F7" s="1"/>
      <c r="G7" s="1"/>
      <c r="H7" s="1"/>
      <c r="I7" s="1"/>
      <c r="J7" s="1"/>
      <c r="K7" s="1"/>
      <c r="L7" s="1"/>
      <c r="M7" s="1"/>
      <c r="N7" s="1"/>
    </row>
    <row r="8" spans="1:14" x14ac:dyDescent="0.45">
      <c r="A8" s="1">
        <f t="shared" si="0"/>
        <v>7</v>
      </c>
      <c r="B8" t="s">
        <v>294</v>
      </c>
      <c r="C8" t="s">
        <v>294</v>
      </c>
      <c r="D8" s="62">
        <v>44059</v>
      </c>
      <c r="E8" s="1" t="s">
        <v>19</v>
      </c>
      <c r="F8" s="1"/>
      <c r="G8" s="1"/>
      <c r="H8" s="1"/>
      <c r="I8" s="1"/>
      <c r="J8" s="1"/>
      <c r="K8" s="1"/>
      <c r="L8" s="1"/>
      <c r="M8" s="1"/>
      <c r="N8" s="1"/>
    </row>
    <row r="9" spans="1:14" x14ac:dyDescent="0.45">
      <c r="A9" s="1">
        <f t="shared" si="0"/>
        <v>8</v>
      </c>
      <c r="B9" t="s">
        <v>77</v>
      </c>
      <c r="C9" t="s">
        <v>77</v>
      </c>
      <c r="D9" s="62">
        <v>41542</v>
      </c>
      <c r="E9" s="1" t="s">
        <v>14</v>
      </c>
      <c r="F9" s="1"/>
      <c r="G9" s="1"/>
      <c r="H9" s="1"/>
      <c r="I9" s="1"/>
      <c r="J9" s="1"/>
      <c r="K9" s="1"/>
      <c r="L9" s="1"/>
      <c r="M9" s="1"/>
      <c r="N9" s="1"/>
    </row>
    <row r="10" spans="1:14" x14ac:dyDescent="0.45">
      <c r="A10" s="1">
        <f t="shared" si="0"/>
        <v>9</v>
      </c>
      <c r="B10" t="s">
        <v>79</v>
      </c>
      <c r="C10" t="s">
        <v>79</v>
      </c>
      <c r="D10" s="62">
        <v>41542</v>
      </c>
      <c r="E10" s="1" t="s">
        <v>14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5">
      <c r="A11" s="1">
        <f t="shared" si="0"/>
        <v>10</v>
      </c>
      <c r="B11" t="s">
        <v>81</v>
      </c>
      <c r="C11" t="s">
        <v>81</v>
      </c>
      <c r="D11" s="62">
        <v>41542</v>
      </c>
      <c r="E11" s="1" t="s">
        <v>14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45">
      <c r="A12" s="1">
        <f t="shared" si="0"/>
        <v>11</v>
      </c>
      <c r="B12" t="s">
        <v>84</v>
      </c>
      <c r="C12" t="s">
        <v>84</v>
      </c>
      <c r="D12" s="62">
        <v>41542</v>
      </c>
      <c r="E12" s="1" t="s">
        <v>14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45">
      <c r="A13" s="1">
        <f t="shared" si="0"/>
        <v>12</v>
      </c>
      <c r="B13" t="s">
        <v>295</v>
      </c>
      <c r="C13" t="s">
        <v>295</v>
      </c>
      <c r="D13" s="62">
        <v>44059</v>
      </c>
      <c r="E13" s="1" t="s">
        <v>19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45">
      <c r="A14" s="1">
        <f t="shared" si="0"/>
        <v>13</v>
      </c>
      <c r="B14" t="s">
        <v>87</v>
      </c>
      <c r="C14" t="s">
        <v>87</v>
      </c>
      <c r="D14" s="62">
        <v>41542</v>
      </c>
      <c r="E14" s="1" t="s">
        <v>14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45">
      <c r="A15" s="1">
        <f t="shared" si="0"/>
        <v>14</v>
      </c>
      <c r="B15" t="s">
        <v>88</v>
      </c>
      <c r="C15" t="s">
        <v>88</v>
      </c>
      <c r="D15" s="62">
        <v>41542</v>
      </c>
      <c r="E15" s="1" t="s">
        <v>14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45">
      <c r="A16" s="1">
        <f t="shared" si="0"/>
        <v>15</v>
      </c>
      <c r="B16" t="s">
        <v>89</v>
      </c>
      <c r="C16" t="s">
        <v>89</v>
      </c>
      <c r="D16" s="62">
        <v>41542</v>
      </c>
      <c r="E16" s="1" t="s">
        <v>14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45">
      <c r="A17" s="1">
        <f t="shared" si="0"/>
        <v>16</v>
      </c>
      <c r="B17" t="s">
        <v>90</v>
      </c>
      <c r="C17" t="s">
        <v>90</v>
      </c>
      <c r="D17" s="62">
        <v>41542</v>
      </c>
      <c r="E17" s="1" t="s">
        <v>14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>
        <f t="shared" si="0"/>
        <v>17</v>
      </c>
      <c r="B18" t="s">
        <v>91</v>
      </c>
      <c r="C18" t="s">
        <v>91</v>
      </c>
      <c r="D18" s="62">
        <v>41542</v>
      </c>
      <c r="E18" s="1" t="s">
        <v>14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>
        <f t="shared" si="0"/>
        <v>18</v>
      </c>
      <c r="B19" t="s">
        <v>93</v>
      </c>
      <c r="C19" t="s">
        <v>93</v>
      </c>
      <c r="D19" s="62">
        <v>41542</v>
      </c>
      <c r="E19" s="1" t="s">
        <v>14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>
        <f t="shared" si="0"/>
        <v>19</v>
      </c>
      <c r="B20" t="s">
        <v>296</v>
      </c>
      <c r="C20" t="s">
        <v>296</v>
      </c>
      <c r="D20" s="62">
        <v>44059</v>
      </c>
      <c r="E20" s="1" t="s">
        <v>19</v>
      </c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>
        <f t="shared" si="0"/>
        <v>20</v>
      </c>
      <c r="B21" t="s">
        <v>94</v>
      </c>
      <c r="C21" t="s">
        <v>94</v>
      </c>
      <c r="D21" s="62">
        <v>41542</v>
      </c>
      <c r="E21" s="1" t="s">
        <v>14</v>
      </c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>
        <f t="shared" si="0"/>
        <v>21</v>
      </c>
      <c r="B22" t="s">
        <v>95</v>
      </c>
      <c r="C22" t="s">
        <v>95</v>
      </c>
      <c r="D22" s="62">
        <v>41542</v>
      </c>
      <c r="E22" s="1" t="s">
        <v>14</v>
      </c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>
        <f t="shared" si="0"/>
        <v>22</v>
      </c>
      <c r="B23" t="s">
        <v>96</v>
      </c>
      <c r="C23" t="s">
        <v>96</v>
      </c>
      <c r="D23" s="62">
        <v>41542</v>
      </c>
      <c r="E23" s="1" t="s">
        <v>14</v>
      </c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s="1">
        <f t="shared" si="0"/>
        <v>23</v>
      </c>
      <c r="B24" t="s">
        <v>97</v>
      </c>
      <c r="C24" t="s">
        <v>97</v>
      </c>
      <c r="D24" s="62">
        <v>41542</v>
      </c>
      <c r="E24" s="1" t="s">
        <v>14</v>
      </c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>
        <f t="shared" si="0"/>
        <v>24</v>
      </c>
      <c r="B25" t="s">
        <v>98</v>
      </c>
      <c r="C25" t="s">
        <v>98</v>
      </c>
      <c r="D25" s="62">
        <v>41542</v>
      </c>
      <c r="E25" s="1" t="s">
        <v>14</v>
      </c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45">
      <c r="A26" s="1">
        <f t="shared" si="0"/>
        <v>25</v>
      </c>
      <c r="B26" t="s">
        <v>99</v>
      </c>
      <c r="C26" t="s">
        <v>99</v>
      </c>
      <c r="D26" s="62">
        <v>41542</v>
      </c>
      <c r="E26" s="1" t="s">
        <v>14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45">
      <c r="A27" s="1">
        <f t="shared" si="0"/>
        <v>26</v>
      </c>
      <c r="B27" t="s">
        <v>297</v>
      </c>
      <c r="C27" t="s">
        <v>297</v>
      </c>
      <c r="D27" s="59">
        <v>43738</v>
      </c>
      <c r="E27" s="1" t="s">
        <v>19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45">
      <c r="A28" s="6">
        <f t="shared" si="0"/>
        <v>27</v>
      </c>
      <c r="B28" t="s">
        <v>102</v>
      </c>
      <c r="C28" t="s">
        <v>102</v>
      </c>
      <c r="D28" s="62">
        <v>41542</v>
      </c>
      <c r="E28" s="1" t="s">
        <v>14</v>
      </c>
      <c r="F28" s="1"/>
      <c r="G28" s="1"/>
      <c r="H28" s="1"/>
      <c r="I28" s="1"/>
      <c r="J28" s="1"/>
      <c r="K28" s="1"/>
      <c r="L28" s="1"/>
      <c r="M28" s="1"/>
      <c r="N28" s="7"/>
    </row>
    <row r="29" spans="1:14" x14ac:dyDescent="0.45">
      <c r="A29" s="6">
        <f t="shared" si="0"/>
        <v>28</v>
      </c>
      <c r="B29" t="s">
        <v>298</v>
      </c>
      <c r="C29" t="s">
        <v>298</v>
      </c>
      <c r="D29" s="62">
        <v>44059</v>
      </c>
      <c r="E29" s="1" t="s">
        <v>19</v>
      </c>
      <c r="F29" s="1"/>
      <c r="G29" s="1"/>
      <c r="H29" s="1"/>
      <c r="I29" s="1"/>
      <c r="J29" s="1"/>
      <c r="K29" s="1"/>
      <c r="L29" s="1"/>
      <c r="M29" s="1"/>
      <c r="N29" s="7"/>
    </row>
    <row r="30" spans="1:14" x14ac:dyDescent="0.45">
      <c r="A30" s="6">
        <f t="shared" si="0"/>
        <v>29</v>
      </c>
      <c r="B30" t="s">
        <v>105</v>
      </c>
      <c r="C30" t="s">
        <v>105</v>
      </c>
      <c r="D30" s="62">
        <v>41542</v>
      </c>
      <c r="E30" s="1" t="s">
        <v>14</v>
      </c>
      <c r="F30" s="1"/>
      <c r="G30" s="1"/>
      <c r="H30" s="1"/>
      <c r="I30" s="1"/>
      <c r="J30" s="1"/>
      <c r="K30" s="1"/>
      <c r="L30" s="1"/>
      <c r="M30" s="1"/>
      <c r="N30" s="7"/>
    </row>
    <row r="31" spans="1:14" x14ac:dyDescent="0.45">
      <c r="A31" s="6">
        <f t="shared" si="0"/>
        <v>30</v>
      </c>
      <c r="B31" t="s">
        <v>299</v>
      </c>
      <c r="C31" t="s">
        <v>299</v>
      </c>
      <c r="D31" s="62">
        <v>44059</v>
      </c>
      <c r="E31" s="1" t="s">
        <v>19</v>
      </c>
      <c r="F31" s="1"/>
      <c r="G31" s="1"/>
      <c r="H31" s="1"/>
      <c r="I31" s="1"/>
      <c r="J31" s="1"/>
      <c r="K31" s="1"/>
      <c r="L31" s="1"/>
      <c r="M31" s="1"/>
      <c r="N31" s="7"/>
    </row>
    <row r="32" spans="1:14" x14ac:dyDescent="0.45">
      <c r="A32" s="1">
        <f t="shared" si="0"/>
        <v>31</v>
      </c>
      <c r="B32" t="s">
        <v>300</v>
      </c>
      <c r="C32" t="s">
        <v>300</v>
      </c>
      <c r="D32" s="62">
        <v>44059</v>
      </c>
      <c r="E32" s="1" t="s">
        <v>19</v>
      </c>
      <c r="F32" s="1"/>
      <c r="G32" s="1"/>
      <c r="H32" s="1"/>
      <c r="I32" s="1"/>
      <c r="J32" s="1"/>
      <c r="K32" s="1"/>
      <c r="L32" s="1"/>
      <c r="M32" s="1"/>
      <c r="N32" s="7"/>
    </row>
    <row r="33" spans="1:14" x14ac:dyDescent="0.45">
      <c r="A33" s="1">
        <f t="shared" si="0"/>
        <v>32</v>
      </c>
      <c r="B33" t="s">
        <v>108</v>
      </c>
      <c r="C33" t="s">
        <v>108</v>
      </c>
      <c r="D33" s="62">
        <v>41542</v>
      </c>
      <c r="E33" s="1" t="s">
        <v>14</v>
      </c>
      <c r="F33" s="1"/>
      <c r="G33" s="1"/>
      <c r="H33" s="1"/>
      <c r="I33" s="1"/>
      <c r="J33" s="1"/>
      <c r="K33" s="1"/>
      <c r="L33" s="1"/>
      <c r="M33" s="1"/>
      <c r="N33" s="7"/>
    </row>
    <row r="34" spans="1:14" x14ac:dyDescent="0.45">
      <c r="A34" s="6">
        <f t="shared" si="0"/>
        <v>33</v>
      </c>
      <c r="B34" t="s">
        <v>109</v>
      </c>
      <c r="C34" t="s">
        <v>109</v>
      </c>
      <c r="D34" s="62">
        <v>41542</v>
      </c>
      <c r="E34" s="1" t="s">
        <v>14</v>
      </c>
      <c r="F34" s="1"/>
      <c r="G34" s="1"/>
      <c r="H34" s="1"/>
      <c r="I34" s="1"/>
      <c r="J34" s="1"/>
      <c r="K34" s="1"/>
      <c r="L34" s="1"/>
      <c r="M34" s="1"/>
      <c r="N34" s="7"/>
    </row>
    <row r="35" spans="1:14" x14ac:dyDescent="0.45">
      <c r="A35" s="6">
        <f t="shared" si="0"/>
        <v>34</v>
      </c>
      <c r="B35" t="s">
        <v>301</v>
      </c>
      <c r="C35" t="s">
        <v>301</v>
      </c>
      <c r="D35" s="62">
        <v>44059</v>
      </c>
      <c r="E35" s="1" t="s">
        <v>19</v>
      </c>
      <c r="F35" s="1"/>
      <c r="G35" s="1"/>
      <c r="H35" s="1"/>
      <c r="I35" s="1"/>
      <c r="J35" s="1"/>
      <c r="K35" s="1"/>
      <c r="L35" s="1"/>
      <c r="M35" s="1"/>
      <c r="N35" s="7"/>
    </row>
    <row r="36" spans="1:14" x14ac:dyDescent="0.45">
      <c r="A36" s="6">
        <f t="shared" si="0"/>
        <v>35</v>
      </c>
      <c r="B36" t="s">
        <v>111</v>
      </c>
      <c r="C36" t="s">
        <v>111</v>
      </c>
      <c r="D36" s="62">
        <v>41542</v>
      </c>
      <c r="E36" s="1" t="s">
        <v>14</v>
      </c>
      <c r="F36" s="1"/>
      <c r="G36" s="1"/>
      <c r="H36" s="1"/>
      <c r="I36" s="1"/>
      <c r="J36" s="1"/>
      <c r="K36" s="1"/>
      <c r="L36" s="1"/>
      <c r="M36" s="1"/>
      <c r="N36" s="7"/>
    </row>
    <row r="37" spans="1:14" x14ac:dyDescent="0.45">
      <c r="A37" s="6">
        <f t="shared" si="0"/>
        <v>36</v>
      </c>
      <c r="B37" t="s">
        <v>112</v>
      </c>
      <c r="C37" t="s">
        <v>112</v>
      </c>
      <c r="D37" s="62">
        <v>41542</v>
      </c>
      <c r="E37" s="1" t="s">
        <v>14</v>
      </c>
      <c r="F37" s="1"/>
      <c r="G37" s="1"/>
      <c r="H37" s="1"/>
      <c r="I37" s="1"/>
      <c r="J37" s="1"/>
      <c r="K37" s="1"/>
      <c r="L37" s="1"/>
      <c r="M37" s="1"/>
      <c r="N37" s="7"/>
    </row>
    <row r="38" spans="1:14" x14ac:dyDescent="0.45">
      <c r="A38" s="1">
        <f t="shared" si="0"/>
        <v>37</v>
      </c>
      <c r="B38" t="s">
        <v>114</v>
      </c>
      <c r="C38" t="s">
        <v>114</v>
      </c>
      <c r="D38" s="62">
        <v>41542</v>
      </c>
      <c r="E38" s="1" t="s">
        <v>14</v>
      </c>
      <c r="F38" s="1"/>
      <c r="G38" s="1"/>
      <c r="H38" s="1"/>
      <c r="I38" s="1"/>
      <c r="J38" s="1"/>
      <c r="K38" s="1"/>
      <c r="L38" s="1"/>
      <c r="M38" s="1"/>
      <c r="N38" s="7"/>
    </row>
    <row r="39" spans="1:14" x14ac:dyDescent="0.45">
      <c r="A39" s="1">
        <f t="shared" si="0"/>
        <v>38</v>
      </c>
      <c r="B39" t="s">
        <v>116</v>
      </c>
      <c r="C39" t="s">
        <v>116</v>
      </c>
      <c r="D39" s="62">
        <v>41542</v>
      </c>
      <c r="E39" s="1" t="s">
        <v>14</v>
      </c>
      <c r="F39" s="1"/>
      <c r="G39" s="1"/>
      <c r="H39" s="1"/>
      <c r="I39" s="1"/>
      <c r="J39" s="1"/>
      <c r="K39" s="1"/>
      <c r="L39" s="1"/>
      <c r="M39" s="1"/>
      <c r="N39" s="7"/>
    </row>
    <row r="40" spans="1:14" x14ac:dyDescent="0.45">
      <c r="A40" s="6">
        <f t="shared" si="0"/>
        <v>39</v>
      </c>
      <c r="B40" t="s">
        <v>302</v>
      </c>
      <c r="C40" t="s">
        <v>302</v>
      </c>
      <c r="D40" s="62">
        <v>44059</v>
      </c>
      <c r="E40" s="1" t="s">
        <v>19</v>
      </c>
      <c r="F40" s="1"/>
      <c r="G40" s="1"/>
      <c r="H40" s="1"/>
      <c r="I40" s="1"/>
      <c r="J40" s="1"/>
      <c r="K40" s="1"/>
      <c r="L40" s="1"/>
      <c r="M40" s="1"/>
      <c r="N40" s="7"/>
    </row>
    <row r="41" spans="1:14" x14ac:dyDescent="0.45">
      <c r="A41" s="6">
        <f t="shared" si="0"/>
        <v>40</v>
      </c>
      <c r="B41" t="s">
        <v>117</v>
      </c>
      <c r="C41" t="s">
        <v>117</v>
      </c>
      <c r="D41" s="62">
        <v>41542</v>
      </c>
      <c r="E41" s="1" t="s">
        <v>14</v>
      </c>
      <c r="F41" s="1"/>
      <c r="G41" s="1"/>
      <c r="H41" s="1"/>
      <c r="I41" s="1"/>
      <c r="J41" s="1"/>
      <c r="K41" s="1"/>
      <c r="L41" s="1"/>
      <c r="M41" s="1"/>
      <c r="N41" s="7"/>
    </row>
    <row r="42" spans="1:14" x14ac:dyDescent="0.45">
      <c r="A42" s="6">
        <f t="shared" si="0"/>
        <v>41</v>
      </c>
      <c r="B42" t="s">
        <v>118</v>
      </c>
      <c r="C42" t="s">
        <v>118</v>
      </c>
      <c r="D42" s="62">
        <v>41542</v>
      </c>
      <c r="E42" s="1" t="s">
        <v>14</v>
      </c>
      <c r="F42" s="1"/>
      <c r="G42" s="1"/>
      <c r="H42" s="1"/>
      <c r="I42" s="1"/>
      <c r="J42" s="1"/>
      <c r="K42" s="1"/>
      <c r="L42" s="1"/>
      <c r="M42" s="1"/>
      <c r="N42" s="7"/>
    </row>
    <row r="43" spans="1:14" x14ac:dyDescent="0.45">
      <c r="A43" s="6">
        <f t="shared" si="0"/>
        <v>42</v>
      </c>
      <c r="B43" t="s">
        <v>119</v>
      </c>
      <c r="C43" t="s">
        <v>119</v>
      </c>
      <c r="D43" s="62">
        <v>41542</v>
      </c>
      <c r="E43" s="1" t="s">
        <v>14</v>
      </c>
      <c r="F43" s="1"/>
      <c r="G43" s="1"/>
      <c r="H43" s="1"/>
      <c r="I43" s="1"/>
      <c r="J43" s="1"/>
      <c r="K43" s="1"/>
      <c r="L43" s="1"/>
      <c r="M43" s="1"/>
      <c r="N43" s="7"/>
    </row>
    <row r="44" spans="1:14" x14ac:dyDescent="0.45">
      <c r="A44" s="1">
        <f t="shared" si="0"/>
        <v>43</v>
      </c>
      <c r="B44" t="s">
        <v>120</v>
      </c>
      <c r="C44" t="s">
        <v>120</v>
      </c>
      <c r="D44" s="62">
        <v>41542</v>
      </c>
      <c r="E44" s="1" t="s">
        <v>14</v>
      </c>
      <c r="F44" s="1"/>
      <c r="G44" s="1"/>
      <c r="H44" s="1"/>
      <c r="I44" s="1"/>
      <c r="J44" s="1"/>
      <c r="K44" s="1"/>
      <c r="L44" s="1"/>
      <c r="M44" s="1"/>
      <c r="N44" s="7"/>
    </row>
    <row r="45" spans="1:14" x14ac:dyDescent="0.45">
      <c r="A45" s="1">
        <f t="shared" si="0"/>
        <v>44</v>
      </c>
      <c r="B45" t="s">
        <v>121</v>
      </c>
      <c r="C45" t="s">
        <v>121</v>
      </c>
      <c r="D45" s="62">
        <v>41542</v>
      </c>
      <c r="E45" s="1" t="s">
        <v>14</v>
      </c>
      <c r="F45" s="1"/>
      <c r="G45" s="1"/>
      <c r="H45" s="1"/>
      <c r="I45" s="1"/>
      <c r="J45" s="1"/>
      <c r="K45" s="1"/>
      <c r="L45" s="1"/>
      <c r="M45" s="1"/>
      <c r="N45" s="7"/>
    </row>
    <row r="46" spans="1:14" x14ac:dyDescent="0.45">
      <c r="A46" s="6">
        <f t="shared" si="0"/>
        <v>45</v>
      </c>
      <c r="B46" t="s">
        <v>122</v>
      </c>
      <c r="C46" t="s">
        <v>122</v>
      </c>
      <c r="D46" s="62">
        <v>41542</v>
      </c>
      <c r="E46" s="1" t="s">
        <v>14</v>
      </c>
      <c r="F46" s="1"/>
      <c r="G46" s="1"/>
      <c r="H46" s="1"/>
      <c r="I46" s="1"/>
      <c r="J46" s="1"/>
      <c r="K46" s="1"/>
      <c r="L46" s="1"/>
      <c r="M46" s="1"/>
      <c r="N46" s="7"/>
    </row>
    <row r="47" spans="1:14" x14ac:dyDescent="0.45">
      <c r="A47" s="6">
        <f t="shared" si="0"/>
        <v>46</v>
      </c>
      <c r="B47" t="s">
        <v>303</v>
      </c>
      <c r="C47" t="s">
        <v>303</v>
      </c>
      <c r="D47" s="62">
        <v>44059</v>
      </c>
      <c r="E47" s="1" t="s">
        <v>19</v>
      </c>
      <c r="F47" s="1"/>
      <c r="G47" s="1"/>
      <c r="H47" s="1"/>
      <c r="I47" s="1"/>
      <c r="J47" s="1"/>
      <c r="K47" s="1"/>
      <c r="L47" s="1"/>
      <c r="M47" s="1"/>
      <c r="N47" s="7"/>
    </row>
    <row r="48" spans="1:14" x14ac:dyDescent="0.45">
      <c r="A48" s="6">
        <f t="shared" si="0"/>
        <v>47</v>
      </c>
      <c r="B48" t="s">
        <v>123</v>
      </c>
      <c r="C48" t="s">
        <v>123</v>
      </c>
      <c r="D48" s="62">
        <v>41542</v>
      </c>
      <c r="E48" s="1" t="s">
        <v>14</v>
      </c>
      <c r="F48" s="1"/>
      <c r="G48" s="1"/>
      <c r="H48" s="1"/>
      <c r="I48" s="1"/>
      <c r="J48" s="1"/>
      <c r="K48" s="1"/>
      <c r="L48" s="1"/>
      <c r="M48" s="1"/>
      <c r="N48" s="7"/>
    </row>
    <row r="49" spans="1:14" x14ac:dyDescent="0.45">
      <c r="A49" s="6">
        <f t="shared" si="0"/>
        <v>48</v>
      </c>
      <c r="B49" t="s">
        <v>124</v>
      </c>
      <c r="C49" t="s">
        <v>124</v>
      </c>
      <c r="D49" s="62">
        <v>41542</v>
      </c>
      <c r="E49" s="1" t="s">
        <v>14</v>
      </c>
      <c r="F49" s="1"/>
      <c r="G49" s="1"/>
      <c r="H49" s="1"/>
      <c r="I49" s="1"/>
      <c r="J49" s="1"/>
      <c r="K49" s="1"/>
      <c r="L49" s="1"/>
      <c r="M49" s="1"/>
      <c r="N49" s="7"/>
    </row>
    <row r="50" spans="1:14" x14ac:dyDescent="0.45">
      <c r="A50" s="1">
        <f t="shared" si="0"/>
        <v>49</v>
      </c>
      <c r="B50" t="s">
        <v>125</v>
      </c>
      <c r="C50" t="s">
        <v>125</v>
      </c>
      <c r="D50" s="62">
        <v>41542</v>
      </c>
      <c r="E50" s="1" t="s">
        <v>14</v>
      </c>
      <c r="F50" s="1"/>
      <c r="G50" s="1"/>
      <c r="H50" s="1"/>
      <c r="I50" s="1"/>
      <c r="J50" s="1"/>
      <c r="K50" s="1"/>
      <c r="L50" s="1"/>
      <c r="M50" s="1"/>
      <c r="N50" s="7"/>
    </row>
    <row r="51" spans="1:14" x14ac:dyDescent="0.45">
      <c r="A51" s="1">
        <f t="shared" si="0"/>
        <v>50</v>
      </c>
      <c r="B51" t="s">
        <v>126</v>
      </c>
      <c r="C51" t="s">
        <v>126</v>
      </c>
      <c r="D51" s="62">
        <v>41542</v>
      </c>
      <c r="E51" s="1" t="s">
        <v>14</v>
      </c>
      <c r="F51" s="1"/>
      <c r="G51" s="1"/>
      <c r="H51" s="1"/>
      <c r="I51" s="1"/>
      <c r="J51" s="1"/>
      <c r="K51" s="1"/>
      <c r="L51" s="1"/>
      <c r="M51" s="1"/>
      <c r="N51" s="7"/>
    </row>
    <row r="52" spans="1:14" x14ac:dyDescent="0.45">
      <c r="A52" s="6">
        <f t="shared" si="0"/>
        <v>51</v>
      </c>
      <c r="B52" t="s">
        <v>127</v>
      </c>
      <c r="C52" t="s">
        <v>127</v>
      </c>
      <c r="D52" s="62">
        <v>41542</v>
      </c>
      <c r="E52" s="1" t="s">
        <v>14</v>
      </c>
      <c r="F52" s="1"/>
      <c r="G52" s="1"/>
      <c r="H52" s="1"/>
      <c r="I52" s="1"/>
      <c r="J52" s="1"/>
      <c r="K52" s="1"/>
      <c r="L52" s="1"/>
      <c r="M52" s="1"/>
      <c r="N52" s="7"/>
    </row>
    <row r="53" spans="1:14" x14ac:dyDescent="0.45">
      <c r="A53" s="6">
        <f t="shared" si="0"/>
        <v>52</v>
      </c>
      <c r="B53" t="s">
        <v>128</v>
      </c>
      <c r="C53" t="s">
        <v>128</v>
      </c>
      <c r="D53" s="62">
        <v>41542</v>
      </c>
      <c r="E53" s="1" t="s">
        <v>14</v>
      </c>
      <c r="F53" s="1"/>
      <c r="G53" s="1"/>
      <c r="H53" s="1"/>
      <c r="I53" s="1"/>
      <c r="J53" s="1"/>
      <c r="K53" s="1"/>
      <c r="L53" s="1"/>
      <c r="M53" s="1"/>
      <c r="N53" s="7"/>
    </row>
    <row r="54" spans="1:14" x14ac:dyDescent="0.45">
      <c r="A54" s="6">
        <f t="shared" si="0"/>
        <v>53</v>
      </c>
      <c r="B54" t="s">
        <v>129</v>
      </c>
      <c r="C54" t="s">
        <v>129</v>
      </c>
      <c r="D54" s="59">
        <v>43738</v>
      </c>
      <c r="E54" s="1" t="s">
        <v>19</v>
      </c>
      <c r="F54" s="1"/>
      <c r="G54" s="1"/>
      <c r="H54" s="1"/>
      <c r="I54" s="1"/>
      <c r="J54" s="1"/>
      <c r="K54" s="1"/>
      <c r="L54" s="1"/>
      <c r="M54" s="1"/>
      <c r="N54" s="7"/>
    </row>
    <row r="55" spans="1:14" x14ac:dyDescent="0.45">
      <c r="A55" s="6">
        <f t="shared" si="0"/>
        <v>54</v>
      </c>
      <c r="B55" t="s">
        <v>131</v>
      </c>
      <c r="C55" t="s">
        <v>131</v>
      </c>
      <c r="D55" s="62">
        <v>41542</v>
      </c>
      <c r="E55" s="1" t="s">
        <v>14</v>
      </c>
      <c r="F55" s="1"/>
      <c r="G55" s="1"/>
      <c r="H55" s="1"/>
      <c r="I55" s="1"/>
      <c r="J55" s="1"/>
      <c r="K55" s="1"/>
      <c r="L55" s="1"/>
      <c r="M55" s="1"/>
      <c r="N55" s="7"/>
    </row>
    <row r="56" spans="1:14" x14ac:dyDescent="0.45">
      <c r="A56" s="1">
        <f t="shared" si="0"/>
        <v>55</v>
      </c>
      <c r="B56" t="s">
        <v>304</v>
      </c>
      <c r="C56" t="s">
        <v>304</v>
      </c>
      <c r="D56" s="62">
        <v>44059</v>
      </c>
      <c r="E56" s="1" t="s">
        <v>19</v>
      </c>
      <c r="F56" s="1"/>
      <c r="G56" s="1"/>
      <c r="H56" s="1"/>
      <c r="I56" s="1"/>
      <c r="J56" s="1"/>
      <c r="K56" s="1"/>
      <c r="L56" s="1"/>
      <c r="M56" s="1"/>
      <c r="N56" s="7"/>
    </row>
    <row r="57" spans="1:14" x14ac:dyDescent="0.45">
      <c r="A57" s="1">
        <f t="shared" si="0"/>
        <v>56</v>
      </c>
      <c r="B57" t="s">
        <v>132</v>
      </c>
      <c r="C57" t="s">
        <v>132</v>
      </c>
      <c r="D57" s="62">
        <v>41542</v>
      </c>
      <c r="E57" s="1" t="s">
        <v>14</v>
      </c>
      <c r="F57" s="1"/>
      <c r="G57" s="1"/>
      <c r="H57" s="1"/>
      <c r="I57" s="1"/>
      <c r="J57" s="1"/>
      <c r="K57" s="1"/>
      <c r="L57" s="1"/>
      <c r="M57" s="1"/>
      <c r="N57" s="7"/>
    </row>
    <row r="58" spans="1:14" x14ac:dyDescent="0.45">
      <c r="A58" s="6">
        <f t="shared" si="0"/>
        <v>57</v>
      </c>
      <c r="B58" t="s">
        <v>305</v>
      </c>
      <c r="C58" t="s">
        <v>305</v>
      </c>
      <c r="D58" s="62">
        <v>44059</v>
      </c>
      <c r="E58" s="1" t="s">
        <v>19</v>
      </c>
      <c r="F58" s="1"/>
      <c r="G58" s="1"/>
      <c r="H58" s="1"/>
      <c r="I58" s="1"/>
      <c r="J58" s="1"/>
      <c r="K58" s="1"/>
      <c r="L58" s="1"/>
      <c r="M58" s="1"/>
      <c r="N58" s="7"/>
    </row>
    <row r="59" spans="1:14" x14ac:dyDescent="0.45">
      <c r="A59" s="6">
        <f t="shared" si="0"/>
        <v>58</v>
      </c>
      <c r="B59" t="s">
        <v>306</v>
      </c>
      <c r="C59" t="s">
        <v>306</v>
      </c>
      <c r="D59" s="62">
        <v>44059</v>
      </c>
      <c r="E59" s="1" t="s">
        <v>19</v>
      </c>
      <c r="F59" s="1"/>
      <c r="G59" s="1"/>
      <c r="H59" s="1"/>
      <c r="I59" s="1"/>
      <c r="J59" s="1"/>
      <c r="K59" s="1"/>
      <c r="L59" s="1"/>
      <c r="M59" s="1"/>
      <c r="N59" s="7"/>
    </row>
    <row r="60" spans="1:14" x14ac:dyDescent="0.45">
      <c r="A60" s="6">
        <f t="shared" si="0"/>
        <v>59</v>
      </c>
      <c r="B60" t="s">
        <v>133</v>
      </c>
      <c r="C60" t="s">
        <v>133</v>
      </c>
      <c r="D60" s="62">
        <v>41542</v>
      </c>
      <c r="E60" s="1" t="s">
        <v>14</v>
      </c>
      <c r="F60" s="1"/>
      <c r="G60" s="1"/>
      <c r="H60" s="1"/>
      <c r="I60" s="1"/>
      <c r="J60" s="1"/>
      <c r="K60" s="1"/>
      <c r="L60" s="1"/>
      <c r="M60" s="1"/>
      <c r="N60" s="7"/>
    </row>
    <row r="61" spans="1:14" x14ac:dyDescent="0.45">
      <c r="A61" s="6">
        <f t="shared" si="0"/>
        <v>60</v>
      </c>
      <c r="B61" t="s">
        <v>134</v>
      </c>
      <c r="C61" t="s">
        <v>134</v>
      </c>
      <c r="D61" s="62">
        <v>41542</v>
      </c>
      <c r="E61" s="1" t="s">
        <v>14</v>
      </c>
      <c r="F61" s="1"/>
      <c r="G61" s="1"/>
      <c r="H61" s="1"/>
      <c r="I61" s="1"/>
      <c r="J61" s="1"/>
      <c r="K61" s="1"/>
      <c r="L61" s="1"/>
      <c r="M61" s="1"/>
      <c r="N61" s="7"/>
    </row>
    <row r="62" spans="1:14" x14ac:dyDescent="0.45">
      <c r="A62" s="1">
        <f t="shared" si="0"/>
        <v>61</v>
      </c>
      <c r="B62" t="s">
        <v>307</v>
      </c>
      <c r="C62" t="s">
        <v>307</v>
      </c>
      <c r="D62" s="62">
        <v>44059</v>
      </c>
      <c r="E62" s="1" t="s">
        <v>19</v>
      </c>
      <c r="F62" s="1"/>
      <c r="G62" s="1"/>
      <c r="H62" s="1"/>
      <c r="I62" s="1"/>
      <c r="J62" s="1"/>
      <c r="K62" s="1"/>
      <c r="L62" s="1"/>
      <c r="M62" s="1"/>
      <c r="N62" s="7"/>
    </row>
    <row r="63" spans="1:14" x14ac:dyDescent="0.45">
      <c r="A63" s="1">
        <f t="shared" si="0"/>
        <v>62</v>
      </c>
      <c r="B63" t="s">
        <v>135</v>
      </c>
      <c r="C63" t="s">
        <v>135</v>
      </c>
      <c r="D63" s="62">
        <v>41542</v>
      </c>
      <c r="E63" s="1" t="s">
        <v>14</v>
      </c>
      <c r="F63" s="1"/>
      <c r="G63" s="1"/>
      <c r="H63" s="1"/>
      <c r="I63" s="1"/>
      <c r="J63" s="1"/>
      <c r="K63" s="1"/>
      <c r="L63" s="1"/>
      <c r="M63" s="1"/>
      <c r="N63" s="7"/>
    </row>
    <row r="64" spans="1:14" x14ac:dyDescent="0.45">
      <c r="A64" s="6">
        <f t="shared" si="0"/>
        <v>63</v>
      </c>
      <c r="B64" t="s">
        <v>136</v>
      </c>
      <c r="C64" t="s">
        <v>136</v>
      </c>
      <c r="D64" s="62">
        <v>41542</v>
      </c>
      <c r="E64" s="1" t="s">
        <v>14</v>
      </c>
      <c r="F64" s="1"/>
      <c r="G64" s="1"/>
      <c r="H64" s="1"/>
      <c r="I64" s="1"/>
      <c r="J64" s="1"/>
      <c r="K64" s="1"/>
      <c r="L64" s="1"/>
      <c r="M64" s="1"/>
      <c r="N64" s="7"/>
    </row>
    <row r="65" spans="1:14" x14ac:dyDescent="0.45">
      <c r="A65" s="6">
        <f t="shared" si="0"/>
        <v>64</v>
      </c>
      <c r="B65" t="s">
        <v>137</v>
      </c>
      <c r="C65" t="s">
        <v>137</v>
      </c>
      <c r="D65" s="62">
        <v>41542</v>
      </c>
      <c r="E65" s="1" t="s">
        <v>14</v>
      </c>
      <c r="F65" s="1"/>
      <c r="G65" s="1"/>
      <c r="H65" s="1"/>
      <c r="I65" s="1"/>
      <c r="J65" s="1"/>
      <c r="K65" s="1"/>
      <c r="L65" s="1"/>
      <c r="M65" s="1"/>
      <c r="N65" s="7"/>
    </row>
    <row r="66" spans="1:14" x14ac:dyDescent="0.45">
      <c r="A66" s="6">
        <f t="shared" si="0"/>
        <v>65</v>
      </c>
      <c r="B66" t="s">
        <v>138</v>
      </c>
      <c r="C66" t="s">
        <v>138</v>
      </c>
      <c r="D66" s="62">
        <v>41542</v>
      </c>
      <c r="E66" s="1" t="s">
        <v>14</v>
      </c>
      <c r="F66" s="1"/>
      <c r="G66" s="1"/>
      <c r="H66" s="1"/>
      <c r="I66" s="1"/>
      <c r="J66" s="1"/>
      <c r="K66" s="1"/>
      <c r="L66" s="1"/>
      <c r="M66" s="1"/>
      <c r="N66" s="7"/>
    </row>
    <row r="67" spans="1:14" x14ac:dyDescent="0.45">
      <c r="A67" s="6">
        <f t="shared" ref="A67:A130" si="1">A66+1</f>
        <v>66</v>
      </c>
      <c r="B67" t="s">
        <v>308</v>
      </c>
      <c r="C67" t="s">
        <v>308</v>
      </c>
      <c r="D67" s="62">
        <v>44059</v>
      </c>
      <c r="E67" s="1" t="s">
        <v>19</v>
      </c>
      <c r="F67" s="1"/>
      <c r="G67" s="1"/>
      <c r="H67" s="1"/>
      <c r="I67" s="1"/>
      <c r="J67" s="1"/>
      <c r="K67" s="1"/>
      <c r="L67" s="1"/>
      <c r="M67" s="1"/>
      <c r="N67" s="7"/>
    </row>
    <row r="68" spans="1:14" x14ac:dyDescent="0.45">
      <c r="A68" s="1">
        <f t="shared" si="1"/>
        <v>67</v>
      </c>
      <c r="B68" t="s">
        <v>139</v>
      </c>
      <c r="C68" t="s">
        <v>139</v>
      </c>
      <c r="D68" s="62">
        <v>41542</v>
      </c>
      <c r="E68" s="1" t="s">
        <v>14</v>
      </c>
      <c r="F68" s="1"/>
      <c r="G68" s="1"/>
      <c r="H68" s="1"/>
      <c r="I68" s="1"/>
      <c r="J68" s="1"/>
      <c r="K68" s="1"/>
      <c r="L68" s="1"/>
      <c r="M68" s="1"/>
      <c r="N68" s="7"/>
    </row>
    <row r="69" spans="1:14" x14ac:dyDescent="0.45">
      <c r="A69" s="1">
        <f t="shared" si="1"/>
        <v>68</v>
      </c>
      <c r="B69" t="s">
        <v>140</v>
      </c>
      <c r="C69" t="s">
        <v>140</v>
      </c>
      <c r="D69" s="62">
        <v>41542</v>
      </c>
      <c r="E69" s="1" t="s">
        <v>14</v>
      </c>
      <c r="F69" s="1"/>
      <c r="G69" s="1"/>
      <c r="H69" s="1"/>
      <c r="I69" s="1"/>
      <c r="J69" s="1"/>
      <c r="K69" s="1"/>
      <c r="L69" s="1"/>
      <c r="M69" s="1"/>
      <c r="N69" s="7"/>
    </row>
    <row r="70" spans="1:14" x14ac:dyDescent="0.45">
      <c r="A70" s="6">
        <f t="shared" si="1"/>
        <v>69</v>
      </c>
      <c r="B70" t="s">
        <v>141</v>
      </c>
      <c r="C70" t="s">
        <v>141</v>
      </c>
      <c r="D70" s="62">
        <v>41542</v>
      </c>
      <c r="E70" s="1" t="s">
        <v>14</v>
      </c>
      <c r="F70" s="1"/>
      <c r="G70" s="1"/>
      <c r="H70" s="1"/>
      <c r="I70" s="1"/>
      <c r="J70" s="1"/>
      <c r="K70" s="1"/>
      <c r="L70" s="1"/>
      <c r="M70" s="1"/>
      <c r="N70" s="7"/>
    </row>
    <row r="71" spans="1:14" x14ac:dyDescent="0.45">
      <c r="A71" s="6">
        <f t="shared" si="1"/>
        <v>70</v>
      </c>
      <c r="B71" t="s">
        <v>142</v>
      </c>
      <c r="C71" t="s">
        <v>142</v>
      </c>
      <c r="D71" s="62">
        <v>41542</v>
      </c>
      <c r="E71" s="1" t="s">
        <v>14</v>
      </c>
      <c r="F71" s="1"/>
      <c r="G71" s="1"/>
      <c r="H71" s="1"/>
      <c r="I71" s="1"/>
      <c r="J71" s="1"/>
      <c r="K71" s="1"/>
      <c r="L71" s="1"/>
      <c r="M71" s="1"/>
      <c r="N71" s="7"/>
    </row>
    <row r="72" spans="1:14" x14ac:dyDescent="0.45">
      <c r="A72" s="6">
        <f t="shared" si="1"/>
        <v>71</v>
      </c>
      <c r="B72" t="s">
        <v>143</v>
      </c>
      <c r="C72" t="s">
        <v>143</v>
      </c>
      <c r="D72" s="62">
        <v>41542</v>
      </c>
      <c r="E72" s="1" t="s">
        <v>14</v>
      </c>
      <c r="F72" s="1"/>
      <c r="G72" s="1"/>
      <c r="H72" s="1"/>
      <c r="I72" s="1"/>
      <c r="J72" s="1"/>
      <c r="K72" s="1"/>
      <c r="L72" s="1"/>
      <c r="M72" s="1"/>
      <c r="N72" s="7"/>
    </row>
    <row r="73" spans="1:14" x14ac:dyDescent="0.45">
      <c r="A73" s="6">
        <f t="shared" si="1"/>
        <v>72</v>
      </c>
      <c r="B73" t="s">
        <v>144</v>
      </c>
      <c r="C73" t="s">
        <v>144</v>
      </c>
      <c r="D73" s="62">
        <v>41542</v>
      </c>
      <c r="E73" s="1" t="s">
        <v>14</v>
      </c>
      <c r="F73" s="1"/>
      <c r="G73" s="1"/>
      <c r="H73" s="1"/>
      <c r="I73" s="1"/>
      <c r="J73" s="1"/>
      <c r="K73" s="1"/>
      <c r="L73" s="1"/>
      <c r="M73" s="1"/>
      <c r="N73" s="7"/>
    </row>
    <row r="74" spans="1:14" x14ac:dyDescent="0.45">
      <c r="A74" s="1">
        <f t="shared" si="1"/>
        <v>73</v>
      </c>
      <c r="B74" t="s">
        <v>309</v>
      </c>
      <c r="C74" t="s">
        <v>309</v>
      </c>
      <c r="D74" s="62">
        <v>44059</v>
      </c>
      <c r="E74" s="1" t="s">
        <v>19</v>
      </c>
      <c r="F74" s="1"/>
      <c r="G74" s="1"/>
      <c r="H74" s="1"/>
      <c r="I74" s="1"/>
      <c r="J74" s="1"/>
      <c r="K74" s="1"/>
      <c r="L74" s="1"/>
      <c r="M74" s="1"/>
      <c r="N74" s="7"/>
    </row>
    <row r="75" spans="1:14" x14ac:dyDescent="0.45">
      <c r="A75" s="1">
        <f t="shared" si="1"/>
        <v>74</v>
      </c>
      <c r="B75" t="s">
        <v>145</v>
      </c>
      <c r="C75" t="s">
        <v>145</v>
      </c>
      <c r="D75" s="62">
        <v>41542</v>
      </c>
      <c r="E75" s="1" t="s">
        <v>14</v>
      </c>
      <c r="F75" s="1"/>
      <c r="G75" s="1"/>
      <c r="H75" s="1"/>
      <c r="I75" s="1"/>
      <c r="J75" s="1"/>
      <c r="K75" s="1"/>
      <c r="L75" s="1"/>
      <c r="M75" s="1"/>
      <c r="N75" s="7"/>
    </row>
    <row r="76" spans="1:14" x14ac:dyDescent="0.45">
      <c r="A76" s="6">
        <f t="shared" si="1"/>
        <v>75</v>
      </c>
      <c r="B76" t="s">
        <v>146</v>
      </c>
      <c r="C76" t="s">
        <v>146</v>
      </c>
      <c r="D76" s="62">
        <v>41542</v>
      </c>
      <c r="E76" s="1" t="s">
        <v>14</v>
      </c>
      <c r="F76" s="1"/>
      <c r="G76" s="1"/>
      <c r="H76" s="1"/>
      <c r="I76" s="1"/>
      <c r="J76" s="1"/>
      <c r="K76" s="1"/>
      <c r="L76" s="1"/>
      <c r="M76" s="1"/>
      <c r="N76" s="7"/>
    </row>
    <row r="77" spans="1:14" x14ac:dyDescent="0.45">
      <c r="A77" s="6">
        <f t="shared" si="1"/>
        <v>76</v>
      </c>
      <c r="B77" t="s">
        <v>147</v>
      </c>
      <c r="C77" t="s">
        <v>147</v>
      </c>
      <c r="D77" s="62">
        <v>41542</v>
      </c>
      <c r="E77" s="1" t="s">
        <v>14</v>
      </c>
      <c r="F77" s="1"/>
      <c r="G77" s="1"/>
      <c r="H77" s="1"/>
      <c r="I77" s="1"/>
      <c r="J77" s="1"/>
      <c r="K77" s="1"/>
      <c r="L77" s="1"/>
      <c r="M77" s="1"/>
      <c r="N77" s="7"/>
    </row>
    <row r="78" spans="1:14" x14ac:dyDescent="0.45">
      <c r="A78" s="6">
        <f t="shared" si="1"/>
        <v>77</v>
      </c>
      <c r="B78" t="s">
        <v>148</v>
      </c>
      <c r="C78" t="s">
        <v>148</v>
      </c>
      <c r="D78" s="62">
        <v>41542</v>
      </c>
      <c r="E78" s="1" t="s">
        <v>14</v>
      </c>
      <c r="F78" s="1"/>
      <c r="G78" s="1"/>
      <c r="H78" s="1"/>
      <c r="I78" s="1"/>
      <c r="J78" s="1"/>
      <c r="K78" s="1"/>
      <c r="L78" s="1"/>
      <c r="M78" s="1"/>
      <c r="N78" s="7"/>
    </row>
    <row r="79" spans="1:14" x14ac:dyDescent="0.45">
      <c r="A79" s="6">
        <f t="shared" si="1"/>
        <v>78</v>
      </c>
      <c r="B79" t="s">
        <v>149</v>
      </c>
      <c r="C79" t="s">
        <v>149</v>
      </c>
      <c r="D79" s="62">
        <v>41542</v>
      </c>
      <c r="E79" s="1" t="s">
        <v>14</v>
      </c>
      <c r="F79" s="1"/>
      <c r="G79" s="1"/>
      <c r="H79" s="1"/>
      <c r="I79" s="1"/>
      <c r="J79" s="1"/>
      <c r="K79" s="1"/>
      <c r="L79" s="1"/>
      <c r="M79" s="1"/>
      <c r="N79" s="7"/>
    </row>
    <row r="80" spans="1:14" x14ac:dyDescent="0.45">
      <c r="A80" s="1">
        <f t="shared" si="1"/>
        <v>79</v>
      </c>
      <c r="B80" t="s">
        <v>150</v>
      </c>
      <c r="C80" t="s">
        <v>150</v>
      </c>
      <c r="D80" s="62">
        <v>41542</v>
      </c>
      <c r="E80" s="1" t="s">
        <v>14</v>
      </c>
      <c r="F80" s="1"/>
      <c r="G80" s="1"/>
      <c r="H80" s="1"/>
      <c r="I80" s="1"/>
      <c r="J80" s="1"/>
      <c r="K80" s="1"/>
      <c r="L80" s="1"/>
      <c r="M80" s="1"/>
      <c r="N80" s="7"/>
    </row>
    <row r="81" spans="1:14" x14ac:dyDescent="0.45">
      <c r="A81" s="1">
        <f t="shared" si="1"/>
        <v>80</v>
      </c>
      <c r="B81" t="s">
        <v>151</v>
      </c>
      <c r="C81" t="s">
        <v>151</v>
      </c>
      <c r="D81" s="59">
        <v>43738</v>
      </c>
      <c r="E81" s="1" t="s">
        <v>19</v>
      </c>
      <c r="F81" s="1"/>
      <c r="G81" s="1"/>
      <c r="H81" s="1"/>
      <c r="I81" s="1"/>
      <c r="J81" s="1"/>
      <c r="K81" s="1"/>
      <c r="L81" s="1"/>
      <c r="M81" s="1"/>
      <c r="N81" s="7"/>
    </row>
    <row r="82" spans="1:14" x14ac:dyDescent="0.45">
      <c r="A82" s="6">
        <f t="shared" si="1"/>
        <v>81</v>
      </c>
      <c r="B82" t="s">
        <v>152</v>
      </c>
      <c r="C82" t="s">
        <v>152</v>
      </c>
      <c r="D82" s="62">
        <v>41542</v>
      </c>
      <c r="E82" s="1" t="s">
        <v>14</v>
      </c>
      <c r="F82" s="1"/>
      <c r="G82" s="1"/>
      <c r="H82" s="1"/>
      <c r="I82" s="1"/>
      <c r="J82" s="1"/>
      <c r="K82" s="1"/>
      <c r="L82" s="1"/>
      <c r="M82" s="1"/>
      <c r="N82" s="7"/>
    </row>
    <row r="83" spans="1:14" x14ac:dyDescent="0.45">
      <c r="A83" s="6">
        <f t="shared" si="1"/>
        <v>82</v>
      </c>
      <c r="B83" t="s">
        <v>310</v>
      </c>
      <c r="C83" t="s">
        <v>310</v>
      </c>
      <c r="D83" s="62">
        <v>44059</v>
      </c>
      <c r="E83" s="1" t="s">
        <v>19</v>
      </c>
      <c r="F83" s="1"/>
      <c r="G83" s="1"/>
      <c r="H83" s="1"/>
      <c r="I83" s="1"/>
      <c r="J83" s="1"/>
      <c r="K83" s="1"/>
      <c r="L83" s="1"/>
      <c r="M83" s="1"/>
      <c r="N83" s="7"/>
    </row>
    <row r="84" spans="1:14" x14ac:dyDescent="0.45">
      <c r="A84" s="6">
        <f t="shared" si="1"/>
        <v>83</v>
      </c>
      <c r="B84" t="s">
        <v>153</v>
      </c>
      <c r="C84" t="s">
        <v>153</v>
      </c>
      <c r="D84" s="62">
        <v>41542</v>
      </c>
      <c r="E84" s="1" t="s">
        <v>14</v>
      </c>
      <c r="F84" s="1"/>
      <c r="G84" s="1"/>
      <c r="H84" s="1"/>
      <c r="I84" s="1"/>
      <c r="J84" s="1"/>
      <c r="K84" s="1"/>
      <c r="L84" s="1"/>
      <c r="M84" s="1"/>
      <c r="N84" s="7"/>
    </row>
    <row r="85" spans="1:14" x14ac:dyDescent="0.45">
      <c r="A85" s="6">
        <f t="shared" si="1"/>
        <v>84</v>
      </c>
      <c r="B85" t="s">
        <v>311</v>
      </c>
      <c r="C85" t="s">
        <v>311</v>
      </c>
      <c r="D85" s="62">
        <v>44059</v>
      </c>
      <c r="E85" s="1" t="s">
        <v>19</v>
      </c>
      <c r="F85" s="1"/>
      <c r="G85" s="1"/>
      <c r="H85" s="1"/>
      <c r="I85" s="1"/>
      <c r="J85" s="1"/>
      <c r="K85" s="1"/>
      <c r="L85" s="1"/>
      <c r="M85" s="1"/>
      <c r="N85" s="7"/>
    </row>
    <row r="86" spans="1:14" x14ac:dyDescent="0.45">
      <c r="A86" s="1">
        <f t="shared" si="1"/>
        <v>85</v>
      </c>
      <c r="B86" t="s">
        <v>312</v>
      </c>
      <c r="C86" t="s">
        <v>312</v>
      </c>
      <c r="D86" s="62">
        <v>44059</v>
      </c>
      <c r="E86" s="1" t="s">
        <v>19</v>
      </c>
      <c r="F86" s="1"/>
      <c r="G86" s="1"/>
      <c r="H86" s="1"/>
      <c r="I86" s="1"/>
      <c r="J86" s="1"/>
      <c r="K86" s="1"/>
      <c r="L86" s="1"/>
      <c r="M86" s="1"/>
      <c r="N86" s="7"/>
    </row>
    <row r="87" spans="1:14" x14ac:dyDescent="0.45">
      <c r="A87" s="1">
        <f t="shared" si="1"/>
        <v>86</v>
      </c>
      <c r="B87" t="s">
        <v>154</v>
      </c>
      <c r="C87" t="s">
        <v>154</v>
      </c>
      <c r="D87" s="62">
        <v>41542</v>
      </c>
      <c r="E87" s="1" t="s">
        <v>14</v>
      </c>
      <c r="F87" s="1"/>
      <c r="G87" s="1"/>
      <c r="H87" s="1"/>
      <c r="I87" s="1"/>
      <c r="J87" s="1"/>
      <c r="K87" s="1"/>
      <c r="L87" s="1"/>
      <c r="M87" s="1"/>
      <c r="N87" s="7"/>
    </row>
    <row r="88" spans="1:14" x14ac:dyDescent="0.45">
      <c r="A88" s="6">
        <f t="shared" si="1"/>
        <v>87</v>
      </c>
      <c r="B88" t="s">
        <v>155</v>
      </c>
      <c r="C88" t="s">
        <v>155</v>
      </c>
      <c r="D88" s="62">
        <v>41542</v>
      </c>
      <c r="E88" s="1" t="s">
        <v>14</v>
      </c>
      <c r="F88" s="1"/>
      <c r="G88" s="1"/>
      <c r="H88" s="1"/>
      <c r="I88" s="1"/>
      <c r="J88" s="1"/>
      <c r="K88" s="1"/>
      <c r="L88" s="1"/>
      <c r="M88" s="1"/>
      <c r="N88" s="7"/>
    </row>
    <row r="89" spans="1:14" x14ac:dyDescent="0.45">
      <c r="A89" s="6">
        <f t="shared" si="1"/>
        <v>88</v>
      </c>
      <c r="B89" t="s">
        <v>313</v>
      </c>
      <c r="C89" t="s">
        <v>313</v>
      </c>
      <c r="D89" s="62">
        <v>44059</v>
      </c>
      <c r="E89" s="1" t="s">
        <v>19</v>
      </c>
      <c r="F89" s="1"/>
      <c r="G89" s="1"/>
      <c r="H89" s="1"/>
      <c r="I89" s="1"/>
      <c r="J89" s="1"/>
      <c r="K89" s="1"/>
      <c r="L89" s="1"/>
      <c r="M89" s="1"/>
      <c r="N89" s="7"/>
    </row>
    <row r="90" spans="1:14" x14ac:dyDescent="0.45">
      <c r="A90" s="6">
        <f t="shared" si="1"/>
        <v>89</v>
      </c>
      <c r="B90" t="s">
        <v>156</v>
      </c>
      <c r="C90" t="s">
        <v>156</v>
      </c>
      <c r="D90" s="62">
        <v>41542</v>
      </c>
      <c r="E90" s="1" t="s">
        <v>14</v>
      </c>
      <c r="F90" s="1"/>
      <c r="G90" s="1"/>
      <c r="H90" s="1"/>
      <c r="I90" s="1"/>
      <c r="J90" s="1"/>
      <c r="K90" s="1"/>
      <c r="L90" s="1"/>
      <c r="M90" s="1"/>
      <c r="N90" s="7"/>
    </row>
    <row r="91" spans="1:14" x14ac:dyDescent="0.45">
      <c r="A91" s="6">
        <f t="shared" si="1"/>
        <v>90</v>
      </c>
      <c r="B91" t="s">
        <v>157</v>
      </c>
      <c r="C91" t="s">
        <v>157</v>
      </c>
      <c r="D91" s="62">
        <v>41542</v>
      </c>
      <c r="E91" s="1" t="s">
        <v>14</v>
      </c>
      <c r="F91" s="1"/>
      <c r="G91" s="1"/>
      <c r="H91" s="1"/>
      <c r="I91" s="1"/>
      <c r="J91" s="1"/>
      <c r="K91" s="1"/>
      <c r="L91" s="1"/>
      <c r="M91" s="1"/>
      <c r="N91" s="7"/>
    </row>
    <row r="92" spans="1:14" x14ac:dyDescent="0.45">
      <c r="A92" s="1">
        <f t="shared" si="1"/>
        <v>91</v>
      </c>
      <c r="B92" t="s">
        <v>158</v>
      </c>
      <c r="C92" t="s">
        <v>158</v>
      </c>
      <c r="D92" s="62">
        <v>41542</v>
      </c>
      <c r="E92" s="1" t="s">
        <v>14</v>
      </c>
      <c r="F92" s="1"/>
      <c r="G92" s="1"/>
      <c r="H92" s="1"/>
      <c r="I92" s="1"/>
      <c r="J92" s="1"/>
      <c r="K92" s="1"/>
      <c r="L92" s="1"/>
      <c r="M92" s="1"/>
      <c r="N92" s="7"/>
    </row>
    <row r="93" spans="1:14" x14ac:dyDescent="0.45">
      <c r="A93" s="1">
        <f t="shared" si="1"/>
        <v>92</v>
      </c>
      <c r="B93" t="s">
        <v>159</v>
      </c>
      <c r="C93" t="s">
        <v>159</v>
      </c>
      <c r="D93" s="62">
        <v>41542</v>
      </c>
      <c r="E93" s="1" t="s">
        <v>14</v>
      </c>
      <c r="F93" s="1"/>
      <c r="G93" s="1"/>
      <c r="H93" s="1"/>
      <c r="I93" s="1"/>
      <c r="J93" s="1"/>
      <c r="K93" s="1"/>
      <c r="L93" s="1"/>
      <c r="M93" s="1"/>
      <c r="N93" s="7"/>
    </row>
    <row r="94" spans="1:14" x14ac:dyDescent="0.45">
      <c r="A94" s="6">
        <f t="shared" si="1"/>
        <v>93</v>
      </c>
      <c r="B94" t="s">
        <v>314</v>
      </c>
      <c r="C94" t="s">
        <v>314</v>
      </c>
      <c r="D94" s="62">
        <v>44059</v>
      </c>
      <c r="E94" s="1" t="s">
        <v>19</v>
      </c>
      <c r="F94" s="1"/>
      <c r="G94" s="1"/>
      <c r="H94" s="1"/>
      <c r="I94" s="1"/>
      <c r="J94" s="1"/>
      <c r="K94" s="1"/>
      <c r="L94" s="1"/>
      <c r="M94" s="1"/>
      <c r="N94" s="7"/>
    </row>
    <row r="95" spans="1:14" x14ac:dyDescent="0.45">
      <c r="A95" s="6">
        <f t="shared" si="1"/>
        <v>94</v>
      </c>
      <c r="B95" t="s">
        <v>160</v>
      </c>
      <c r="C95" t="s">
        <v>160</v>
      </c>
      <c r="D95" s="62">
        <v>41542</v>
      </c>
      <c r="E95" s="1" t="s">
        <v>14</v>
      </c>
      <c r="F95" s="1"/>
      <c r="G95" s="1"/>
      <c r="H95" s="1"/>
      <c r="I95" s="1"/>
      <c r="J95" s="1"/>
      <c r="K95" s="1"/>
      <c r="L95" s="1"/>
      <c r="M95" s="1"/>
      <c r="N95" s="7"/>
    </row>
    <row r="96" spans="1:14" x14ac:dyDescent="0.45">
      <c r="A96" s="6">
        <f t="shared" si="1"/>
        <v>95</v>
      </c>
      <c r="B96" t="s">
        <v>161</v>
      </c>
      <c r="C96" t="s">
        <v>161</v>
      </c>
      <c r="D96" s="62">
        <v>41542</v>
      </c>
      <c r="E96" s="1" t="s">
        <v>14</v>
      </c>
      <c r="F96" s="1"/>
      <c r="G96" s="1"/>
      <c r="H96" s="1"/>
      <c r="I96" s="1"/>
      <c r="J96" s="1"/>
      <c r="K96" s="1"/>
      <c r="L96" s="1"/>
      <c r="M96" s="1"/>
      <c r="N96" s="7"/>
    </row>
    <row r="97" spans="1:14" x14ac:dyDescent="0.45">
      <c r="A97" s="6">
        <f t="shared" si="1"/>
        <v>96</v>
      </c>
      <c r="B97" t="s">
        <v>162</v>
      </c>
      <c r="C97" t="s">
        <v>162</v>
      </c>
      <c r="D97" s="62">
        <v>41542</v>
      </c>
      <c r="E97" s="1" t="s">
        <v>14</v>
      </c>
      <c r="F97" s="1"/>
      <c r="G97" s="1"/>
      <c r="H97" s="1"/>
      <c r="I97" s="1"/>
      <c r="J97" s="1"/>
      <c r="K97" s="1"/>
      <c r="L97" s="1"/>
      <c r="M97" s="1"/>
      <c r="N97" s="7"/>
    </row>
    <row r="98" spans="1:14" x14ac:dyDescent="0.45">
      <c r="A98" s="1">
        <f t="shared" si="1"/>
        <v>97</v>
      </c>
      <c r="B98" t="s">
        <v>163</v>
      </c>
      <c r="C98" t="s">
        <v>163</v>
      </c>
      <c r="D98" s="62">
        <v>41542</v>
      </c>
      <c r="E98" s="1" t="s">
        <v>14</v>
      </c>
      <c r="F98" s="1"/>
      <c r="G98" s="1"/>
      <c r="H98" s="1"/>
      <c r="I98" s="1"/>
      <c r="J98" s="1"/>
      <c r="K98" s="1"/>
      <c r="L98" s="1"/>
      <c r="M98" s="1"/>
      <c r="N98" s="7"/>
    </row>
    <row r="99" spans="1:14" x14ac:dyDescent="0.45">
      <c r="A99" s="1">
        <f t="shared" si="1"/>
        <v>98</v>
      </c>
      <c r="B99" t="s">
        <v>164</v>
      </c>
      <c r="C99" t="s">
        <v>164</v>
      </c>
      <c r="D99" s="62">
        <v>41542</v>
      </c>
      <c r="E99" s="1" t="s">
        <v>14</v>
      </c>
      <c r="F99" s="1"/>
      <c r="G99" s="1"/>
      <c r="H99" s="1"/>
      <c r="I99" s="1"/>
      <c r="J99" s="1"/>
      <c r="K99" s="1"/>
      <c r="L99" s="1"/>
      <c r="M99" s="1"/>
      <c r="N99" s="7"/>
    </row>
    <row r="100" spans="1:14" x14ac:dyDescent="0.45">
      <c r="A100" s="6">
        <f t="shared" si="1"/>
        <v>99</v>
      </c>
      <c r="B100" t="s">
        <v>165</v>
      </c>
      <c r="C100" t="s">
        <v>165</v>
      </c>
      <c r="D100" s="62">
        <v>41542</v>
      </c>
      <c r="E100" s="1" t="s">
        <v>14</v>
      </c>
      <c r="F100" s="1"/>
      <c r="G100" s="1"/>
      <c r="H100" s="1"/>
      <c r="I100" s="1"/>
      <c r="J100" s="1"/>
      <c r="K100" s="1"/>
      <c r="L100" s="1"/>
      <c r="M100" s="1"/>
      <c r="N100" s="7"/>
    </row>
    <row r="101" spans="1:14" x14ac:dyDescent="0.45">
      <c r="A101" s="6">
        <f t="shared" si="1"/>
        <v>100</v>
      </c>
      <c r="B101" t="s">
        <v>315</v>
      </c>
      <c r="C101" t="s">
        <v>315</v>
      </c>
      <c r="D101" s="62">
        <v>44059</v>
      </c>
      <c r="E101" s="1" t="s">
        <v>19</v>
      </c>
      <c r="F101" s="1"/>
      <c r="G101" s="1"/>
      <c r="H101" s="1"/>
      <c r="I101" s="1"/>
      <c r="J101" s="1"/>
      <c r="K101" s="1"/>
      <c r="L101" s="1"/>
      <c r="M101" s="1"/>
      <c r="N101" s="7"/>
    </row>
    <row r="102" spans="1:14" x14ac:dyDescent="0.45">
      <c r="A102" s="6">
        <f t="shared" si="1"/>
        <v>101</v>
      </c>
      <c r="B102" t="s">
        <v>166</v>
      </c>
      <c r="C102" t="s">
        <v>166</v>
      </c>
      <c r="D102" s="62">
        <v>41542</v>
      </c>
      <c r="E102" s="1" t="s">
        <v>14</v>
      </c>
      <c r="F102" s="1"/>
      <c r="G102" s="1"/>
      <c r="H102" s="1"/>
      <c r="I102" s="1"/>
      <c r="J102" s="1"/>
      <c r="K102" s="1"/>
      <c r="L102" s="1"/>
      <c r="M102" s="1"/>
      <c r="N102" s="7"/>
    </row>
    <row r="103" spans="1:14" x14ac:dyDescent="0.45">
      <c r="A103" s="6">
        <f t="shared" si="1"/>
        <v>102</v>
      </c>
      <c r="B103" t="s">
        <v>167</v>
      </c>
      <c r="C103" t="s">
        <v>167</v>
      </c>
      <c r="D103" s="62">
        <v>41542</v>
      </c>
      <c r="E103" s="1" t="s">
        <v>14</v>
      </c>
      <c r="F103" s="1"/>
      <c r="G103" s="1"/>
      <c r="H103" s="1"/>
      <c r="I103" s="1"/>
      <c r="J103" s="1"/>
      <c r="K103" s="1"/>
      <c r="L103" s="1"/>
      <c r="M103" s="1"/>
      <c r="N103" s="7"/>
    </row>
    <row r="104" spans="1:14" x14ac:dyDescent="0.45">
      <c r="A104" s="1">
        <f t="shared" si="1"/>
        <v>103</v>
      </c>
      <c r="B104" t="s">
        <v>168</v>
      </c>
      <c r="C104" t="s">
        <v>168</v>
      </c>
      <c r="D104" s="62">
        <v>41542</v>
      </c>
      <c r="E104" s="1" t="s">
        <v>14</v>
      </c>
      <c r="F104" s="1"/>
      <c r="G104" s="1"/>
      <c r="H104" s="1"/>
      <c r="I104" s="1"/>
      <c r="J104" s="1"/>
      <c r="K104" s="1"/>
      <c r="L104" s="1"/>
      <c r="M104" s="1"/>
      <c r="N104" s="7"/>
    </row>
    <row r="105" spans="1:14" x14ac:dyDescent="0.45">
      <c r="A105" s="1">
        <f t="shared" si="1"/>
        <v>104</v>
      </c>
      <c r="B105" t="s">
        <v>169</v>
      </c>
      <c r="C105" t="s">
        <v>169</v>
      </c>
      <c r="D105" s="62">
        <v>41542</v>
      </c>
      <c r="E105" s="1" t="s">
        <v>14</v>
      </c>
      <c r="F105" s="1"/>
      <c r="G105" s="1"/>
      <c r="H105" s="1"/>
      <c r="I105" s="1"/>
      <c r="J105" s="1"/>
      <c r="K105" s="1"/>
      <c r="L105" s="1"/>
      <c r="M105" s="1"/>
      <c r="N105" s="7"/>
    </row>
    <row r="106" spans="1:14" x14ac:dyDescent="0.45">
      <c r="A106" s="6">
        <f t="shared" si="1"/>
        <v>105</v>
      </c>
      <c r="B106" t="s">
        <v>170</v>
      </c>
      <c r="C106" t="s">
        <v>170</v>
      </c>
      <c r="D106" s="62">
        <v>41542</v>
      </c>
      <c r="E106" s="1" t="s">
        <v>14</v>
      </c>
      <c r="F106" s="1"/>
      <c r="G106" s="1"/>
      <c r="H106" s="1"/>
      <c r="I106" s="1"/>
      <c r="J106" s="1"/>
      <c r="K106" s="1"/>
      <c r="L106" s="1"/>
      <c r="M106" s="1"/>
      <c r="N106" s="7"/>
    </row>
    <row r="107" spans="1:14" x14ac:dyDescent="0.45">
      <c r="A107" s="6">
        <f t="shared" si="1"/>
        <v>106</v>
      </c>
      <c r="B107" t="s">
        <v>171</v>
      </c>
      <c r="C107" t="s">
        <v>171</v>
      </c>
      <c r="D107" s="62">
        <v>41542</v>
      </c>
      <c r="E107" s="1" t="s">
        <v>14</v>
      </c>
      <c r="F107" s="1"/>
      <c r="G107" s="1"/>
      <c r="H107" s="1"/>
      <c r="I107" s="1"/>
      <c r="J107" s="1"/>
      <c r="K107" s="1"/>
      <c r="L107" s="1"/>
      <c r="M107" s="1"/>
      <c r="N107" s="7"/>
    </row>
    <row r="108" spans="1:14" x14ac:dyDescent="0.45">
      <c r="A108" s="6">
        <f t="shared" si="1"/>
        <v>107</v>
      </c>
      <c r="B108" t="s">
        <v>172</v>
      </c>
      <c r="C108" t="s">
        <v>172</v>
      </c>
      <c r="D108" s="59">
        <v>43738</v>
      </c>
      <c r="E108" s="1" t="s">
        <v>19</v>
      </c>
      <c r="F108" s="1"/>
      <c r="G108" s="1"/>
      <c r="H108" s="1"/>
      <c r="I108" s="1"/>
      <c r="J108" s="1"/>
      <c r="K108" s="1"/>
      <c r="L108" s="1"/>
      <c r="M108" s="1"/>
      <c r="N108" s="7"/>
    </row>
    <row r="109" spans="1:14" x14ac:dyDescent="0.45">
      <c r="A109" s="6">
        <f t="shared" si="1"/>
        <v>108</v>
      </c>
      <c r="B109" t="s">
        <v>173</v>
      </c>
      <c r="C109" t="s">
        <v>173</v>
      </c>
      <c r="D109" s="62">
        <v>41542</v>
      </c>
      <c r="E109" s="1" t="s">
        <v>14</v>
      </c>
      <c r="F109" s="1"/>
      <c r="G109" s="1"/>
      <c r="H109" s="1"/>
      <c r="I109" s="1"/>
      <c r="J109" s="1"/>
      <c r="K109" s="1"/>
      <c r="L109" s="1"/>
      <c r="M109" s="1"/>
      <c r="N109" s="7"/>
    </row>
    <row r="110" spans="1:14" x14ac:dyDescent="0.45">
      <c r="A110" s="1">
        <f t="shared" si="1"/>
        <v>109</v>
      </c>
      <c r="B110" t="s">
        <v>174</v>
      </c>
      <c r="C110" t="s">
        <v>174</v>
      </c>
      <c r="D110" s="59">
        <v>42095</v>
      </c>
      <c r="E110" s="1" t="s">
        <v>14</v>
      </c>
      <c r="F110" s="1"/>
      <c r="G110" s="1"/>
      <c r="H110" s="1"/>
      <c r="I110" s="1"/>
      <c r="J110" s="1"/>
      <c r="K110" s="1"/>
      <c r="L110" s="1"/>
      <c r="M110" s="1"/>
      <c r="N110" s="7"/>
    </row>
    <row r="111" spans="1:14" x14ac:dyDescent="0.45">
      <c r="A111" s="1">
        <f t="shared" si="1"/>
        <v>110</v>
      </c>
      <c r="B111" t="s">
        <v>175</v>
      </c>
      <c r="C111" t="s">
        <v>175</v>
      </c>
      <c r="D111" s="59">
        <v>43741</v>
      </c>
      <c r="E111" s="1" t="s">
        <v>19</v>
      </c>
      <c r="F111" s="1"/>
      <c r="G111" s="1"/>
      <c r="H111" s="1"/>
      <c r="I111" s="1"/>
      <c r="J111" s="1"/>
      <c r="K111" s="1"/>
      <c r="L111" s="1"/>
      <c r="M111" s="1"/>
      <c r="N111" s="7"/>
    </row>
    <row r="112" spans="1:14" x14ac:dyDescent="0.45">
      <c r="A112" s="6">
        <f t="shared" si="1"/>
        <v>111</v>
      </c>
      <c r="B112" t="s">
        <v>177</v>
      </c>
      <c r="C112" t="s">
        <v>177</v>
      </c>
      <c r="D112" s="59">
        <v>43664</v>
      </c>
      <c r="E112" s="1" t="s">
        <v>19</v>
      </c>
      <c r="F112" s="1"/>
      <c r="G112" s="1"/>
      <c r="H112" s="1"/>
      <c r="I112" s="1"/>
      <c r="J112" s="1"/>
      <c r="K112" s="1"/>
      <c r="L112" s="1"/>
      <c r="M112" s="1"/>
      <c r="N112" s="7"/>
    </row>
    <row r="113" spans="1:14" x14ac:dyDescent="0.45">
      <c r="A113" s="6">
        <f t="shared" si="1"/>
        <v>112</v>
      </c>
      <c r="B113" t="s">
        <v>178</v>
      </c>
      <c r="C113" t="s">
        <v>178</v>
      </c>
      <c r="D113" s="59">
        <v>43426</v>
      </c>
      <c r="E113" s="1" t="s">
        <v>19</v>
      </c>
      <c r="F113" s="1"/>
      <c r="G113" s="1"/>
      <c r="H113" s="1"/>
      <c r="I113" s="1"/>
      <c r="J113" s="1"/>
      <c r="K113" s="1"/>
      <c r="L113" s="1"/>
      <c r="M113" s="1"/>
      <c r="N113" s="7"/>
    </row>
    <row r="114" spans="1:14" x14ac:dyDescent="0.45">
      <c r="A114" s="6">
        <f t="shared" si="1"/>
        <v>113</v>
      </c>
      <c r="B114" t="s">
        <v>179</v>
      </c>
      <c r="C114" t="s">
        <v>179</v>
      </c>
      <c r="D114" s="59">
        <v>43488</v>
      </c>
      <c r="E114" s="1" t="s">
        <v>19</v>
      </c>
      <c r="F114" s="1"/>
      <c r="G114" s="1"/>
      <c r="H114" s="1"/>
      <c r="I114" s="1"/>
      <c r="J114" s="1"/>
      <c r="K114" s="1"/>
      <c r="L114" s="1"/>
      <c r="M114" s="1"/>
      <c r="N114" s="7"/>
    </row>
    <row r="115" spans="1:14" x14ac:dyDescent="0.45">
      <c r="A115" s="6">
        <f t="shared" si="1"/>
        <v>114</v>
      </c>
      <c r="B115" t="s">
        <v>180</v>
      </c>
      <c r="C115" t="s">
        <v>180</v>
      </c>
      <c r="D115" s="59">
        <v>42125</v>
      </c>
      <c r="E115" s="1"/>
      <c r="F115" s="1"/>
      <c r="G115" s="1"/>
      <c r="H115" s="1"/>
      <c r="I115" s="1"/>
      <c r="J115" s="1"/>
      <c r="K115" s="1"/>
      <c r="L115" s="1"/>
      <c r="M115" s="1"/>
      <c r="N115" s="7"/>
    </row>
    <row r="116" spans="1:14" x14ac:dyDescent="0.45">
      <c r="A116" s="1">
        <f t="shared" si="1"/>
        <v>115</v>
      </c>
      <c r="B116" t="s">
        <v>181</v>
      </c>
      <c r="C116" t="s">
        <v>181</v>
      </c>
      <c r="D116" s="59">
        <v>43664</v>
      </c>
      <c r="E116" s="1" t="s">
        <v>19</v>
      </c>
      <c r="F116" s="1"/>
      <c r="G116" s="1"/>
      <c r="H116" s="1"/>
      <c r="I116" s="1"/>
      <c r="J116" s="1"/>
      <c r="K116" s="1"/>
      <c r="L116" s="1"/>
      <c r="M116" s="1"/>
      <c r="N116" s="7"/>
    </row>
    <row r="117" spans="1:14" x14ac:dyDescent="0.45">
      <c r="A117" s="1">
        <f t="shared" si="1"/>
        <v>116</v>
      </c>
      <c r="B117" t="s">
        <v>182</v>
      </c>
      <c r="C117" t="s">
        <v>182</v>
      </c>
      <c r="D117" s="59">
        <v>43663</v>
      </c>
      <c r="E117" s="1" t="s">
        <v>19</v>
      </c>
      <c r="F117" s="1"/>
      <c r="G117" s="1"/>
      <c r="H117" s="1"/>
      <c r="I117" s="1"/>
      <c r="J117" s="1"/>
      <c r="K117" s="1"/>
      <c r="L117" s="1"/>
      <c r="M117" s="1"/>
      <c r="N117" s="7"/>
    </row>
    <row r="118" spans="1:14" x14ac:dyDescent="0.45">
      <c r="A118" s="6">
        <f t="shared" si="1"/>
        <v>117</v>
      </c>
      <c r="B118" t="s">
        <v>183</v>
      </c>
      <c r="C118" t="s">
        <v>183</v>
      </c>
      <c r="D118" s="59">
        <v>42125</v>
      </c>
      <c r="E118" s="1" t="s">
        <v>14</v>
      </c>
      <c r="F118" s="1"/>
      <c r="G118" s="1"/>
      <c r="H118" s="1"/>
      <c r="I118" s="1"/>
      <c r="J118" s="1"/>
      <c r="K118" s="1"/>
      <c r="L118" s="1"/>
      <c r="M118" s="1"/>
      <c r="N118" s="7"/>
    </row>
    <row r="119" spans="1:14" x14ac:dyDescent="0.45">
      <c r="A119" s="6">
        <f t="shared" si="1"/>
        <v>118</v>
      </c>
      <c r="B119" t="s">
        <v>184</v>
      </c>
      <c r="C119" t="s">
        <v>184</v>
      </c>
      <c r="D119" s="59">
        <v>42125</v>
      </c>
      <c r="E119" s="1" t="s">
        <v>14</v>
      </c>
      <c r="F119" s="1"/>
      <c r="G119" s="1"/>
      <c r="H119" s="1"/>
      <c r="I119" s="1"/>
      <c r="J119" s="1"/>
      <c r="K119" s="1"/>
      <c r="L119" s="1"/>
      <c r="M119" s="1"/>
      <c r="N119" s="7"/>
    </row>
    <row r="120" spans="1:14" x14ac:dyDescent="0.45">
      <c r="A120" s="6">
        <f t="shared" si="1"/>
        <v>119</v>
      </c>
      <c r="B120" t="s">
        <v>185</v>
      </c>
      <c r="C120" t="s">
        <v>185</v>
      </c>
      <c r="D120" s="59">
        <v>42125</v>
      </c>
      <c r="E120" s="1" t="s">
        <v>14</v>
      </c>
      <c r="F120" s="1"/>
      <c r="G120" s="1"/>
      <c r="H120" s="1"/>
      <c r="I120" s="1"/>
      <c r="J120" s="1"/>
      <c r="K120" s="1"/>
      <c r="L120" s="1"/>
      <c r="M120" s="1"/>
      <c r="N120" s="7"/>
    </row>
    <row r="121" spans="1:14" x14ac:dyDescent="0.45">
      <c r="A121" s="6">
        <f t="shared" si="1"/>
        <v>120</v>
      </c>
      <c r="B121" t="s">
        <v>186</v>
      </c>
      <c r="C121" t="s">
        <v>186</v>
      </c>
      <c r="D121" s="59">
        <v>42125</v>
      </c>
      <c r="E121" s="1" t="s">
        <v>14</v>
      </c>
      <c r="F121" s="1"/>
      <c r="G121" s="1"/>
      <c r="H121" s="1"/>
      <c r="I121" s="1"/>
      <c r="J121" s="1"/>
      <c r="K121" s="1"/>
      <c r="L121" s="1"/>
      <c r="M121" s="1"/>
      <c r="N121" s="7"/>
    </row>
    <row r="122" spans="1:14" x14ac:dyDescent="0.45">
      <c r="A122" s="1">
        <f t="shared" si="1"/>
        <v>121</v>
      </c>
      <c r="B122" t="s">
        <v>187</v>
      </c>
      <c r="C122" t="s">
        <v>187</v>
      </c>
      <c r="D122" s="59">
        <v>42125</v>
      </c>
      <c r="E122" s="1" t="s">
        <v>14</v>
      </c>
      <c r="F122" s="1"/>
      <c r="G122" s="1"/>
      <c r="H122" s="1"/>
      <c r="I122" s="1"/>
      <c r="J122" s="1"/>
      <c r="K122" s="1"/>
      <c r="L122" s="1"/>
      <c r="M122" s="1"/>
      <c r="N122" s="7"/>
    </row>
    <row r="123" spans="1:14" x14ac:dyDescent="0.45">
      <c r="A123" s="1">
        <f t="shared" si="1"/>
        <v>122</v>
      </c>
      <c r="B123" t="s">
        <v>188</v>
      </c>
      <c r="C123" t="s">
        <v>188</v>
      </c>
      <c r="D123" s="59">
        <v>42125</v>
      </c>
      <c r="E123" s="1" t="s">
        <v>14</v>
      </c>
      <c r="F123" s="1"/>
      <c r="G123" s="1"/>
      <c r="H123" s="1"/>
      <c r="I123" s="1"/>
      <c r="J123" s="1"/>
      <c r="K123" s="1"/>
      <c r="L123" s="1"/>
      <c r="M123" s="1"/>
      <c r="N123" s="7"/>
    </row>
    <row r="124" spans="1:14" x14ac:dyDescent="0.45">
      <c r="A124" s="6">
        <f t="shared" si="1"/>
        <v>123</v>
      </c>
      <c r="B124" t="s">
        <v>189</v>
      </c>
      <c r="C124" t="s">
        <v>189</v>
      </c>
      <c r="D124" s="59">
        <v>43488</v>
      </c>
      <c r="E124" s="1" t="s">
        <v>19</v>
      </c>
      <c r="F124" s="1"/>
      <c r="G124" s="1"/>
      <c r="H124" s="1"/>
      <c r="I124" s="1"/>
      <c r="J124" s="1"/>
      <c r="K124" s="1"/>
      <c r="L124" s="1"/>
      <c r="M124" s="1"/>
      <c r="N124" s="7"/>
    </row>
    <row r="125" spans="1:14" x14ac:dyDescent="0.45">
      <c r="A125" s="6">
        <f t="shared" si="1"/>
        <v>124</v>
      </c>
      <c r="B125" t="s">
        <v>190</v>
      </c>
      <c r="C125" t="s">
        <v>190</v>
      </c>
      <c r="D125" s="59">
        <v>43735</v>
      </c>
      <c r="E125" s="1" t="s">
        <v>19</v>
      </c>
      <c r="F125" s="1"/>
      <c r="G125" s="1"/>
      <c r="H125" s="1"/>
      <c r="I125" s="1"/>
      <c r="J125" s="1"/>
      <c r="K125" s="1"/>
      <c r="L125" s="1"/>
      <c r="M125" s="1"/>
      <c r="N125" s="7"/>
    </row>
    <row r="126" spans="1:14" x14ac:dyDescent="0.45">
      <c r="A126" s="6">
        <f t="shared" si="1"/>
        <v>125</v>
      </c>
      <c r="B126" t="s">
        <v>191</v>
      </c>
      <c r="C126" t="s">
        <v>191</v>
      </c>
      <c r="D126" s="59">
        <v>43637</v>
      </c>
      <c r="E126" s="1" t="s">
        <v>19</v>
      </c>
      <c r="F126" s="1"/>
      <c r="G126" s="1"/>
      <c r="H126" s="1"/>
      <c r="I126" s="1"/>
      <c r="J126" s="1"/>
      <c r="K126" s="1"/>
      <c r="L126" s="1"/>
      <c r="M126" s="1"/>
      <c r="N126" s="7"/>
    </row>
    <row r="127" spans="1:14" x14ac:dyDescent="0.45">
      <c r="A127" s="6">
        <f t="shared" si="1"/>
        <v>126</v>
      </c>
      <c r="B127" t="s">
        <v>192</v>
      </c>
      <c r="C127" t="s">
        <v>192</v>
      </c>
      <c r="D127" s="59">
        <v>42125</v>
      </c>
      <c r="E127" s="1" t="s">
        <v>14</v>
      </c>
      <c r="F127" s="1"/>
      <c r="G127" s="1"/>
      <c r="H127" s="1"/>
      <c r="I127" s="1"/>
      <c r="J127" s="1"/>
      <c r="K127" s="1"/>
      <c r="L127" s="1"/>
      <c r="M127" s="1"/>
      <c r="N127" s="7"/>
    </row>
    <row r="128" spans="1:14" x14ac:dyDescent="0.45">
      <c r="A128" s="1">
        <f t="shared" si="1"/>
        <v>127</v>
      </c>
      <c r="B128" t="s">
        <v>193</v>
      </c>
      <c r="C128" t="s">
        <v>193</v>
      </c>
      <c r="D128" s="59">
        <v>43731</v>
      </c>
      <c r="E128" s="1" t="s">
        <v>19</v>
      </c>
      <c r="F128" s="1"/>
      <c r="G128" s="1"/>
      <c r="H128" s="1"/>
      <c r="I128" s="1"/>
      <c r="J128" s="1"/>
      <c r="K128" s="1"/>
      <c r="L128" s="1"/>
      <c r="M128" s="1"/>
      <c r="N128" s="7"/>
    </row>
    <row r="129" spans="1:14" x14ac:dyDescent="0.45">
      <c r="A129" s="1">
        <f t="shared" si="1"/>
        <v>128</v>
      </c>
      <c r="B129" t="s">
        <v>194</v>
      </c>
      <c r="C129" t="s">
        <v>194</v>
      </c>
      <c r="D129" s="59">
        <v>43715</v>
      </c>
      <c r="E129" s="1" t="s">
        <v>19</v>
      </c>
      <c r="F129" s="1"/>
      <c r="G129" s="1"/>
      <c r="H129" s="1"/>
      <c r="I129" s="1"/>
      <c r="J129" s="1"/>
      <c r="K129" s="1"/>
      <c r="L129" s="1"/>
      <c r="M129" s="1"/>
      <c r="N129" s="7"/>
    </row>
    <row r="130" spans="1:14" x14ac:dyDescent="0.45">
      <c r="A130" s="6">
        <f t="shared" si="1"/>
        <v>129</v>
      </c>
      <c r="B130" t="s">
        <v>195</v>
      </c>
      <c r="C130" t="s">
        <v>195</v>
      </c>
      <c r="D130" s="59">
        <v>43739</v>
      </c>
      <c r="E130" s="1" t="s">
        <v>19</v>
      </c>
      <c r="F130" s="1"/>
      <c r="G130" s="1"/>
      <c r="H130" s="1"/>
      <c r="I130" s="1"/>
      <c r="J130" s="1"/>
      <c r="K130" s="1"/>
      <c r="L130" s="1"/>
      <c r="M130" s="1"/>
      <c r="N130" s="7"/>
    </row>
    <row r="131" spans="1:14" x14ac:dyDescent="0.45">
      <c r="A131" s="6">
        <f t="shared" ref="A131:A194" si="2">A130+1</f>
        <v>130</v>
      </c>
      <c r="B131" t="s">
        <v>196</v>
      </c>
      <c r="C131" t="s">
        <v>196</v>
      </c>
      <c r="D131" s="59">
        <v>43739</v>
      </c>
      <c r="E131" s="1" t="s">
        <v>19</v>
      </c>
      <c r="F131" s="1"/>
      <c r="G131" s="1"/>
      <c r="H131" s="1"/>
      <c r="I131" s="1"/>
      <c r="J131" s="1"/>
      <c r="K131" s="1"/>
      <c r="L131" s="1"/>
      <c r="M131" s="1"/>
      <c r="N131" s="7"/>
    </row>
    <row r="132" spans="1:14" x14ac:dyDescent="0.45">
      <c r="A132" s="6">
        <f t="shared" si="2"/>
        <v>131</v>
      </c>
      <c r="B132" t="s">
        <v>197</v>
      </c>
      <c r="C132" t="s">
        <v>197</v>
      </c>
      <c r="D132" s="59">
        <v>42125</v>
      </c>
      <c r="E132" s="1" t="s">
        <v>14</v>
      </c>
      <c r="F132" s="1"/>
      <c r="G132" s="1"/>
      <c r="H132" s="1"/>
      <c r="I132" s="1"/>
      <c r="J132" s="1"/>
      <c r="K132" s="1"/>
      <c r="L132" s="1"/>
      <c r="M132" s="1"/>
      <c r="N132" s="7"/>
    </row>
    <row r="133" spans="1:14" x14ac:dyDescent="0.45">
      <c r="A133" s="6">
        <f t="shared" si="2"/>
        <v>132</v>
      </c>
      <c r="B133" t="s">
        <v>198</v>
      </c>
      <c r="C133" t="s">
        <v>198</v>
      </c>
      <c r="D133" s="59">
        <v>42125</v>
      </c>
      <c r="E133" s="1" t="s">
        <v>14</v>
      </c>
      <c r="F133" s="1"/>
      <c r="G133" s="1"/>
      <c r="H133" s="1"/>
      <c r="I133" s="1"/>
      <c r="J133" s="1"/>
      <c r="K133" s="1"/>
      <c r="L133" s="1"/>
      <c r="M133" s="1"/>
      <c r="N133" s="7"/>
    </row>
    <row r="134" spans="1:14" x14ac:dyDescent="0.45">
      <c r="A134" s="1">
        <f t="shared" si="2"/>
        <v>133</v>
      </c>
      <c r="B134" t="s">
        <v>199</v>
      </c>
      <c r="C134" t="s">
        <v>199</v>
      </c>
      <c r="D134" s="59">
        <v>42125</v>
      </c>
      <c r="E134" s="1" t="s">
        <v>14</v>
      </c>
      <c r="F134" s="1"/>
      <c r="G134" s="1"/>
      <c r="H134" s="1"/>
      <c r="I134" s="1"/>
      <c r="J134" s="1"/>
      <c r="K134" s="1"/>
      <c r="L134" s="1"/>
      <c r="M134" s="1"/>
      <c r="N134" s="7"/>
    </row>
    <row r="135" spans="1:14" x14ac:dyDescent="0.45">
      <c r="A135" s="1">
        <f t="shared" si="2"/>
        <v>134</v>
      </c>
      <c r="B135" t="s">
        <v>200</v>
      </c>
      <c r="C135" t="s">
        <v>200</v>
      </c>
      <c r="D135" s="59">
        <v>42125</v>
      </c>
      <c r="E135" s="1" t="s">
        <v>14</v>
      </c>
      <c r="F135" s="1"/>
      <c r="G135" s="1"/>
      <c r="H135" s="1"/>
      <c r="I135" s="1"/>
      <c r="J135" s="1"/>
      <c r="K135" s="1"/>
      <c r="L135" s="1"/>
      <c r="M135" s="1"/>
      <c r="N135" s="7"/>
    </row>
    <row r="136" spans="1:14" x14ac:dyDescent="0.45">
      <c r="A136" s="6">
        <f t="shared" si="2"/>
        <v>135</v>
      </c>
      <c r="B136" t="s">
        <v>201</v>
      </c>
      <c r="C136" t="s">
        <v>201</v>
      </c>
      <c r="D136" s="59">
        <v>43850</v>
      </c>
      <c r="E136" s="1" t="s">
        <v>19</v>
      </c>
      <c r="F136" s="1"/>
      <c r="G136" s="1"/>
      <c r="H136" s="1"/>
      <c r="I136" s="1"/>
      <c r="J136" s="1"/>
      <c r="K136" s="1"/>
      <c r="L136" s="1"/>
      <c r="M136" s="1"/>
      <c r="N136" s="7"/>
    </row>
    <row r="137" spans="1:14" x14ac:dyDescent="0.45">
      <c r="A137" s="6">
        <f t="shared" si="2"/>
        <v>136</v>
      </c>
      <c r="B137" t="s">
        <v>202</v>
      </c>
      <c r="C137" t="s">
        <v>202</v>
      </c>
      <c r="D137" s="59">
        <v>42125</v>
      </c>
      <c r="E137" s="1" t="s">
        <v>14</v>
      </c>
      <c r="F137" s="1"/>
      <c r="G137" s="1"/>
      <c r="H137" s="1"/>
      <c r="I137" s="1"/>
      <c r="J137" s="1"/>
      <c r="K137" s="1"/>
      <c r="L137" s="1"/>
      <c r="M137" s="1"/>
      <c r="N137" s="7"/>
    </row>
    <row r="138" spans="1:14" x14ac:dyDescent="0.45">
      <c r="A138" s="6">
        <f t="shared" si="2"/>
        <v>137</v>
      </c>
      <c r="B138" t="s">
        <v>203</v>
      </c>
      <c r="C138" t="s">
        <v>203</v>
      </c>
      <c r="D138" s="59">
        <v>42125</v>
      </c>
      <c r="E138" s="1" t="s">
        <v>14</v>
      </c>
      <c r="F138" s="1"/>
      <c r="G138" s="1"/>
      <c r="H138" s="1"/>
      <c r="I138" s="1"/>
      <c r="J138" s="1"/>
      <c r="K138" s="1"/>
      <c r="L138" s="1"/>
      <c r="M138" s="1"/>
      <c r="N138" s="7"/>
    </row>
    <row r="139" spans="1:14" x14ac:dyDescent="0.45">
      <c r="A139" s="6">
        <f t="shared" si="2"/>
        <v>138</v>
      </c>
      <c r="B139" t="s">
        <v>204</v>
      </c>
      <c r="C139" t="s">
        <v>204</v>
      </c>
      <c r="D139" s="59">
        <v>44049</v>
      </c>
      <c r="E139" s="1" t="s">
        <v>19</v>
      </c>
      <c r="F139" s="1"/>
      <c r="G139" s="1"/>
      <c r="H139" s="1"/>
      <c r="I139" s="1"/>
      <c r="J139" s="1"/>
      <c r="K139" s="1"/>
      <c r="L139" s="1"/>
      <c r="M139" s="1"/>
      <c r="N139" s="7"/>
    </row>
    <row r="140" spans="1:14" x14ac:dyDescent="0.45">
      <c r="A140" s="1">
        <f t="shared" si="2"/>
        <v>139</v>
      </c>
      <c r="B140" t="s">
        <v>205</v>
      </c>
      <c r="C140" t="s">
        <v>205</v>
      </c>
      <c r="D140" s="59">
        <v>41528</v>
      </c>
      <c r="E140" s="1" t="s">
        <v>14</v>
      </c>
      <c r="F140" s="1"/>
      <c r="G140" s="1"/>
      <c r="H140" s="1"/>
      <c r="I140" s="1"/>
      <c r="J140" s="1"/>
      <c r="K140" s="1"/>
      <c r="L140" s="1"/>
      <c r="M140" s="1"/>
      <c r="N140" s="7"/>
    </row>
    <row r="141" spans="1:14" x14ac:dyDescent="0.45">
      <c r="A141" s="1">
        <f t="shared" si="2"/>
        <v>140</v>
      </c>
      <c r="B141" t="s">
        <v>206</v>
      </c>
      <c r="C141" t="s">
        <v>206</v>
      </c>
      <c r="D141" s="59">
        <v>41528</v>
      </c>
      <c r="E141" s="1" t="s">
        <v>14</v>
      </c>
      <c r="F141" s="1"/>
      <c r="G141" s="1"/>
      <c r="H141" s="1"/>
      <c r="I141" s="1"/>
      <c r="J141" s="1"/>
      <c r="K141" s="1"/>
      <c r="L141" s="1"/>
      <c r="M141" s="1"/>
      <c r="N141" s="7"/>
    </row>
    <row r="142" spans="1:14" x14ac:dyDescent="0.45">
      <c r="A142" s="6">
        <f t="shared" si="2"/>
        <v>141</v>
      </c>
      <c r="B142" t="s">
        <v>207</v>
      </c>
      <c r="C142" t="s">
        <v>207</v>
      </c>
      <c r="D142" s="59">
        <v>41528</v>
      </c>
      <c r="E142" s="1" t="s">
        <v>14</v>
      </c>
      <c r="F142" s="1"/>
      <c r="G142" s="1"/>
      <c r="H142" s="1"/>
      <c r="I142" s="1"/>
      <c r="J142" s="1"/>
      <c r="K142" s="1"/>
      <c r="L142" s="1"/>
      <c r="M142" s="1"/>
      <c r="N142" s="7"/>
    </row>
    <row r="143" spans="1:14" x14ac:dyDescent="0.45">
      <c r="A143" s="6">
        <f t="shared" si="2"/>
        <v>142</v>
      </c>
      <c r="B143" t="s">
        <v>208</v>
      </c>
      <c r="C143" t="s">
        <v>208</v>
      </c>
      <c r="D143" s="59">
        <v>41528</v>
      </c>
      <c r="E143" s="1" t="s">
        <v>14</v>
      </c>
      <c r="F143" s="1"/>
      <c r="G143" s="1"/>
      <c r="H143" s="1"/>
      <c r="I143" s="1"/>
      <c r="J143" s="1"/>
      <c r="K143" s="1"/>
      <c r="L143" s="1"/>
      <c r="M143" s="1"/>
      <c r="N143" s="7"/>
    </row>
    <row r="144" spans="1:14" x14ac:dyDescent="0.45">
      <c r="A144" s="6">
        <f t="shared" si="2"/>
        <v>143</v>
      </c>
      <c r="B144" t="s">
        <v>209</v>
      </c>
      <c r="C144" t="s">
        <v>209</v>
      </c>
      <c r="D144" s="59">
        <v>43253</v>
      </c>
      <c r="E144" s="1" t="s">
        <v>19</v>
      </c>
      <c r="F144" s="1"/>
      <c r="G144" s="1"/>
      <c r="H144" s="1"/>
      <c r="I144" s="1"/>
      <c r="J144" s="1"/>
      <c r="K144" s="1"/>
      <c r="L144" s="1"/>
      <c r="M144" s="1"/>
      <c r="N144" s="7"/>
    </row>
    <row r="145" spans="1:14" x14ac:dyDescent="0.45">
      <c r="A145" s="6">
        <f t="shared" si="2"/>
        <v>144</v>
      </c>
      <c r="B145" t="s">
        <v>210</v>
      </c>
      <c r="C145" t="s">
        <v>210</v>
      </c>
      <c r="D145" s="59">
        <v>43850</v>
      </c>
      <c r="E145" s="1" t="s">
        <v>19</v>
      </c>
      <c r="F145" s="1"/>
      <c r="G145" s="1"/>
      <c r="H145" s="1"/>
      <c r="I145" s="1"/>
      <c r="J145" s="1"/>
      <c r="K145" s="1"/>
      <c r="L145" s="1"/>
      <c r="M145" s="1"/>
      <c r="N145" s="7"/>
    </row>
    <row r="146" spans="1:14" x14ac:dyDescent="0.45">
      <c r="A146" s="1">
        <f t="shared" si="2"/>
        <v>145</v>
      </c>
      <c r="B146" t="s">
        <v>211</v>
      </c>
      <c r="C146" t="s">
        <v>211</v>
      </c>
      <c r="D146" s="59">
        <v>43132</v>
      </c>
      <c r="E146" s="1" t="s">
        <v>19</v>
      </c>
      <c r="F146" s="1"/>
      <c r="G146" s="1"/>
      <c r="H146" s="1"/>
      <c r="I146" s="1"/>
      <c r="J146" s="1"/>
      <c r="K146" s="1"/>
      <c r="L146" s="1"/>
      <c r="M146" s="1"/>
      <c r="N146" s="7"/>
    </row>
    <row r="147" spans="1:14" x14ac:dyDescent="0.45">
      <c r="A147" s="1">
        <f t="shared" si="2"/>
        <v>146</v>
      </c>
      <c r="B147" t="s">
        <v>212</v>
      </c>
      <c r="C147" t="s">
        <v>212</v>
      </c>
      <c r="D147" s="59">
        <v>43490</v>
      </c>
      <c r="E147" s="1" t="s">
        <v>19</v>
      </c>
      <c r="F147" s="1"/>
      <c r="G147" s="1"/>
      <c r="H147" s="1"/>
      <c r="I147" s="1"/>
      <c r="J147" s="1"/>
      <c r="K147" s="1"/>
      <c r="L147" s="1"/>
      <c r="M147" s="1"/>
      <c r="N147" s="7"/>
    </row>
    <row r="148" spans="1:14" x14ac:dyDescent="0.45">
      <c r="A148" s="6">
        <f t="shared" si="2"/>
        <v>147</v>
      </c>
      <c r="B148" t="s">
        <v>213</v>
      </c>
      <c r="C148" t="s">
        <v>213</v>
      </c>
      <c r="D148" s="59">
        <v>44062</v>
      </c>
      <c r="E148" s="1" t="s">
        <v>19</v>
      </c>
      <c r="F148" s="1"/>
      <c r="G148" s="1"/>
      <c r="H148" s="1"/>
      <c r="I148" s="1"/>
      <c r="J148" s="1"/>
      <c r="K148" s="1"/>
      <c r="L148" s="1"/>
      <c r="M148" s="1"/>
      <c r="N148" s="7"/>
    </row>
    <row r="149" spans="1:14" x14ac:dyDescent="0.45">
      <c r="A149" s="6">
        <f t="shared" si="2"/>
        <v>148</v>
      </c>
      <c r="B149" t="s">
        <v>214</v>
      </c>
      <c r="C149" t="s">
        <v>214</v>
      </c>
      <c r="D149" s="59">
        <v>44062</v>
      </c>
      <c r="E149" s="1" t="s">
        <v>19</v>
      </c>
      <c r="F149" s="1"/>
      <c r="G149" s="1"/>
      <c r="H149" s="1"/>
      <c r="I149" s="1"/>
      <c r="J149" s="1"/>
      <c r="K149" s="1"/>
      <c r="L149" s="1"/>
      <c r="M149" s="1"/>
      <c r="N149" s="7"/>
    </row>
    <row r="150" spans="1:14" x14ac:dyDescent="0.45">
      <c r="A150" s="6">
        <f t="shared" si="2"/>
        <v>149</v>
      </c>
      <c r="B150" t="s">
        <v>215</v>
      </c>
      <c r="C150" t="s">
        <v>215</v>
      </c>
      <c r="D150" s="59">
        <v>44062</v>
      </c>
      <c r="E150" s="1" t="s">
        <v>19</v>
      </c>
      <c r="F150" s="1"/>
      <c r="G150" s="1"/>
      <c r="H150" s="1"/>
      <c r="I150" s="1"/>
      <c r="J150" s="1"/>
      <c r="K150" s="1"/>
      <c r="L150" s="1"/>
      <c r="M150" s="1"/>
      <c r="N150" s="7"/>
    </row>
    <row r="151" spans="1:14" x14ac:dyDescent="0.45">
      <c r="A151" s="6">
        <f t="shared" si="2"/>
        <v>150</v>
      </c>
      <c r="B151" t="s">
        <v>216</v>
      </c>
      <c r="C151" t="s">
        <v>216</v>
      </c>
      <c r="D151" s="59">
        <v>44062</v>
      </c>
      <c r="E151" s="1" t="s">
        <v>19</v>
      </c>
      <c r="F151" s="1"/>
      <c r="G151" s="1"/>
      <c r="H151" s="1"/>
      <c r="I151" s="1"/>
      <c r="J151" s="1"/>
      <c r="K151" s="1"/>
      <c r="L151" s="1"/>
      <c r="M151" s="1"/>
      <c r="N151" s="7"/>
    </row>
    <row r="152" spans="1:14" x14ac:dyDescent="0.45">
      <c r="A152" s="1">
        <f t="shared" si="2"/>
        <v>151</v>
      </c>
      <c r="B152" t="s">
        <v>217</v>
      </c>
      <c r="C152" t="s">
        <v>217</v>
      </c>
      <c r="D152" s="59">
        <v>44067</v>
      </c>
      <c r="E152" s="1" t="s">
        <v>19</v>
      </c>
      <c r="F152" s="1"/>
      <c r="G152" s="1"/>
      <c r="H152" s="1"/>
      <c r="I152" s="1"/>
      <c r="J152" s="1"/>
      <c r="K152" s="1"/>
      <c r="L152" s="1"/>
      <c r="M152" s="1"/>
      <c r="N152" s="7"/>
    </row>
    <row r="153" spans="1:14" x14ac:dyDescent="0.45">
      <c r="A153" s="1">
        <f t="shared" si="2"/>
        <v>152</v>
      </c>
      <c r="B153" t="s">
        <v>218</v>
      </c>
      <c r="C153" t="s">
        <v>218</v>
      </c>
      <c r="D153" s="59">
        <v>44062</v>
      </c>
      <c r="E153" s="1" t="s">
        <v>19</v>
      </c>
      <c r="F153" s="1"/>
      <c r="G153" s="1"/>
      <c r="H153" s="1"/>
      <c r="I153" s="1"/>
      <c r="J153" s="1"/>
      <c r="K153" s="1"/>
      <c r="L153" s="1"/>
      <c r="M153" s="1"/>
      <c r="N153" s="7"/>
    </row>
    <row r="154" spans="1:14" x14ac:dyDescent="0.45">
      <c r="A154" s="6">
        <f t="shared" si="2"/>
        <v>153</v>
      </c>
      <c r="B154" t="s">
        <v>219</v>
      </c>
      <c r="C154" t="s">
        <v>219</v>
      </c>
      <c r="D154" s="59">
        <v>44062</v>
      </c>
      <c r="E154" s="1" t="s">
        <v>19</v>
      </c>
      <c r="F154" s="1"/>
      <c r="G154" s="1"/>
      <c r="H154" s="1"/>
      <c r="I154" s="1"/>
      <c r="J154" s="1"/>
      <c r="K154" s="1"/>
      <c r="L154" s="1"/>
      <c r="M154" s="1"/>
      <c r="N154" s="7"/>
    </row>
    <row r="155" spans="1:14" x14ac:dyDescent="0.45">
      <c r="A155" s="6">
        <f t="shared" si="2"/>
        <v>154</v>
      </c>
      <c r="B155" t="s">
        <v>220</v>
      </c>
      <c r="C155" t="s">
        <v>220</v>
      </c>
      <c r="D155" s="59">
        <v>44062</v>
      </c>
      <c r="E155" s="1" t="s">
        <v>19</v>
      </c>
      <c r="F155" s="1"/>
      <c r="G155" s="1"/>
      <c r="H155" s="1"/>
      <c r="I155" s="1"/>
      <c r="J155" s="1"/>
      <c r="K155" s="1"/>
      <c r="L155" s="1"/>
      <c r="M155" s="1"/>
      <c r="N155" s="7"/>
    </row>
    <row r="156" spans="1:14" x14ac:dyDescent="0.45">
      <c r="A156" s="6">
        <f t="shared" si="2"/>
        <v>155</v>
      </c>
      <c r="B156" t="s">
        <v>221</v>
      </c>
      <c r="C156" t="s">
        <v>221</v>
      </c>
      <c r="D156" s="59">
        <v>44062</v>
      </c>
      <c r="E156" s="1" t="s">
        <v>19</v>
      </c>
      <c r="F156" s="1"/>
      <c r="G156" s="1"/>
      <c r="H156" s="1"/>
      <c r="I156" s="1"/>
      <c r="J156" s="1"/>
      <c r="K156" s="1"/>
      <c r="L156" s="1"/>
      <c r="M156" s="1"/>
      <c r="N156" s="7"/>
    </row>
    <row r="157" spans="1:14" x14ac:dyDescent="0.45">
      <c r="A157" s="6">
        <f t="shared" si="2"/>
        <v>156</v>
      </c>
      <c r="B157" t="s">
        <v>222</v>
      </c>
      <c r="C157" t="s">
        <v>222</v>
      </c>
      <c r="D157" s="59">
        <v>44068</v>
      </c>
      <c r="E157" s="1" t="s">
        <v>19</v>
      </c>
      <c r="F157" s="1"/>
      <c r="G157" s="1"/>
      <c r="H157" s="1"/>
      <c r="I157" s="1"/>
      <c r="J157" s="1"/>
      <c r="K157" s="1"/>
      <c r="L157" s="1"/>
      <c r="M157" s="1"/>
      <c r="N157" s="7"/>
    </row>
    <row r="158" spans="1:14" x14ac:dyDescent="0.45">
      <c r="A158" s="1">
        <f t="shared" si="2"/>
        <v>157</v>
      </c>
      <c r="B158" t="s">
        <v>223</v>
      </c>
      <c r="C158" t="s">
        <v>223</v>
      </c>
      <c r="D158" s="59">
        <v>44070</v>
      </c>
      <c r="E158" s="1" t="s">
        <v>19</v>
      </c>
      <c r="F158" s="1"/>
      <c r="G158" s="1"/>
      <c r="H158" s="1"/>
      <c r="I158" s="1"/>
      <c r="J158" s="1"/>
      <c r="K158" s="1"/>
      <c r="L158" s="1"/>
      <c r="M158" s="1"/>
      <c r="N158" s="7"/>
    </row>
    <row r="159" spans="1:14" x14ac:dyDescent="0.45">
      <c r="A159" s="1">
        <f t="shared" si="2"/>
        <v>158</v>
      </c>
      <c r="B159" t="s">
        <v>224</v>
      </c>
      <c r="C159" t="s">
        <v>224</v>
      </c>
      <c r="D159" s="59">
        <v>44070</v>
      </c>
      <c r="E159" s="1" t="s">
        <v>19</v>
      </c>
      <c r="F159" s="1"/>
      <c r="G159" s="1"/>
      <c r="H159" s="1"/>
      <c r="I159" s="1"/>
      <c r="J159" s="1"/>
      <c r="K159" s="1"/>
      <c r="L159" s="1"/>
      <c r="M159" s="1"/>
      <c r="N159" s="7"/>
    </row>
    <row r="160" spans="1:14" x14ac:dyDescent="0.45">
      <c r="A160" s="6">
        <f t="shared" si="2"/>
        <v>159</v>
      </c>
      <c r="B160" t="s">
        <v>247</v>
      </c>
      <c r="C160" t="s">
        <v>247</v>
      </c>
      <c r="D160" s="59">
        <v>44072</v>
      </c>
      <c r="E160" s="1" t="s">
        <v>19</v>
      </c>
      <c r="F160" s="1"/>
      <c r="G160" s="1"/>
      <c r="H160" s="1"/>
      <c r="I160" s="1"/>
      <c r="J160" s="1"/>
      <c r="K160" s="1"/>
      <c r="L160" s="1"/>
      <c r="M160" s="1"/>
      <c r="N160" s="7"/>
    </row>
    <row r="161" spans="1:14" x14ac:dyDescent="0.45">
      <c r="A161" s="6">
        <f t="shared" si="2"/>
        <v>160</v>
      </c>
      <c r="B161" t="s">
        <v>248</v>
      </c>
      <c r="C161" t="s">
        <v>248</v>
      </c>
      <c r="D161" s="59">
        <v>44072</v>
      </c>
      <c r="E161" s="1" t="s">
        <v>19</v>
      </c>
      <c r="F161" s="1"/>
      <c r="G161" s="1"/>
      <c r="H161" s="1"/>
      <c r="I161" s="1"/>
      <c r="J161" s="1"/>
      <c r="K161" s="1"/>
      <c r="L161" s="1"/>
      <c r="M161" s="1"/>
      <c r="N161" s="7"/>
    </row>
    <row r="162" spans="1:14" x14ac:dyDescent="0.45">
      <c r="A162" s="6">
        <f t="shared" si="2"/>
        <v>161</v>
      </c>
      <c r="B162" t="s">
        <v>249</v>
      </c>
      <c r="C162" t="s">
        <v>249</v>
      </c>
      <c r="D162" s="59">
        <v>44072</v>
      </c>
      <c r="E162" s="1" t="s">
        <v>19</v>
      </c>
      <c r="F162" s="1"/>
      <c r="G162" s="1"/>
      <c r="H162" s="1"/>
      <c r="I162" s="1"/>
      <c r="J162" s="1"/>
      <c r="K162" s="1"/>
      <c r="L162" s="1"/>
      <c r="M162" s="1"/>
      <c r="N162" s="7"/>
    </row>
    <row r="163" spans="1:14" x14ac:dyDescent="0.45">
      <c r="A163" s="6">
        <f t="shared" si="2"/>
        <v>162</v>
      </c>
      <c r="B163" t="s">
        <v>250</v>
      </c>
      <c r="C163" t="s">
        <v>250</v>
      </c>
      <c r="D163" s="59">
        <v>44072</v>
      </c>
      <c r="E163" s="1" t="s">
        <v>19</v>
      </c>
      <c r="F163" s="1"/>
      <c r="G163" s="1"/>
      <c r="H163" s="1"/>
      <c r="I163" s="1"/>
      <c r="J163" s="1"/>
      <c r="K163" s="1"/>
      <c r="L163" s="1"/>
      <c r="M163" s="1"/>
      <c r="N163" s="7"/>
    </row>
    <row r="164" spans="1:14" x14ac:dyDescent="0.45">
      <c r="A164" s="1">
        <f t="shared" si="2"/>
        <v>163</v>
      </c>
      <c r="B164" t="s">
        <v>251</v>
      </c>
      <c r="C164" t="s">
        <v>251</v>
      </c>
      <c r="D164" s="59">
        <v>44085</v>
      </c>
      <c r="E164" s="1" t="s">
        <v>19</v>
      </c>
      <c r="F164" s="1"/>
      <c r="G164" s="1"/>
      <c r="H164" s="1"/>
      <c r="I164" s="1"/>
      <c r="J164" s="1"/>
      <c r="K164" s="1"/>
      <c r="L164" s="1"/>
      <c r="M164" s="1"/>
      <c r="N164" s="7"/>
    </row>
    <row r="165" spans="1:14" x14ac:dyDescent="0.45">
      <c r="A165" s="1">
        <f t="shared" si="2"/>
        <v>164</v>
      </c>
      <c r="B165" t="s">
        <v>252</v>
      </c>
      <c r="C165" t="s">
        <v>252</v>
      </c>
      <c r="D165" s="59">
        <v>44085</v>
      </c>
      <c r="E165" s="1" t="s">
        <v>19</v>
      </c>
      <c r="F165" s="1"/>
      <c r="G165" s="1"/>
      <c r="H165" s="1"/>
      <c r="I165" s="1"/>
      <c r="J165" s="1"/>
      <c r="K165" s="1"/>
      <c r="L165" s="1"/>
      <c r="M165" s="1"/>
      <c r="N165" s="7"/>
    </row>
    <row r="166" spans="1:14" x14ac:dyDescent="0.45">
      <c r="A166" s="6">
        <f t="shared" si="2"/>
        <v>165</v>
      </c>
      <c r="B166" t="s">
        <v>253</v>
      </c>
      <c r="C166" t="s">
        <v>253</v>
      </c>
      <c r="D166" s="59">
        <v>44089</v>
      </c>
      <c r="E166" s="1" t="s">
        <v>19</v>
      </c>
      <c r="F166" s="1"/>
      <c r="G166" s="1"/>
      <c r="H166" s="1"/>
      <c r="I166" s="1"/>
      <c r="J166" s="1"/>
      <c r="K166" s="1"/>
      <c r="L166" s="1"/>
      <c r="M166" s="1"/>
      <c r="N166" s="7"/>
    </row>
    <row r="167" spans="1:14" x14ac:dyDescent="0.45">
      <c r="A167" s="6">
        <f t="shared" si="2"/>
        <v>166</v>
      </c>
      <c r="B167" t="s">
        <v>254</v>
      </c>
      <c r="C167" t="s">
        <v>254</v>
      </c>
      <c r="D167" s="59">
        <v>44089</v>
      </c>
      <c r="E167" s="1" t="s">
        <v>19</v>
      </c>
      <c r="F167" s="1"/>
      <c r="G167" s="1"/>
      <c r="H167" s="1"/>
      <c r="I167" s="1"/>
      <c r="J167" s="1"/>
      <c r="K167" s="1"/>
      <c r="L167" s="1"/>
      <c r="M167" s="1"/>
      <c r="N167" s="7"/>
    </row>
    <row r="168" spans="1:14" x14ac:dyDescent="0.45">
      <c r="A168" s="6">
        <f t="shared" si="2"/>
        <v>167</v>
      </c>
      <c r="B168" t="s">
        <v>255</v>
      </c>
      <c r="C168" t="s">
        <v>255</v>
      </c>
      <c r="D168" s="59">
        <v>44089</v>
      </c>
      <c r="E168" s="1" t="s">
        <v>19</v>
      </c>
      <c r="F168" s="1"/>
      <c r="G168" s="1"/>
      <c r="H168" s="1"/>
      <c r="I168" s="1"/>
      <c r="J168" s="1"/>
      <c r="K168" s="1"/>
      <c r="L168" s="1"/>
      <c r="M168" s="1"/>
      <c r="N168" s="7"/>
    </row>
    <row r="169" spans="1:14" x14ac:dyDescent="0.45">
      <c r="A169" s="6">
        <f t="shared" si="2"/>
        <v>168</v>
      </c>
      <c r="B169" t="s">
        <v>256</v>
      </c>
      <c r="C169" t="s">
        <v>256</v>
      </c>
      <c r="D169" s="59">
        <v>44089</v>
      </c>
      <c r="E169" s="1" t="s">
        <v>19</v>
      </c>
      <c r="F169" s="1"/>
      <c r="G169" s="1"/>
      <c r="H169" s="1"/>
      <c r="I169" s="1"/>
      <c r="J169" s="1"/>
      <c r="K169" s="1"/>
      <c r="L169" s="1"/>
      <c r="M169" s="1"/>
      <c r="N169" s="7"/>
    </row>
    <row r="170" spans="1:14" x14ac:dyDescent="0.45">
      <c r="A170" s="1">
        <f t="shared" si="2"/>
        <v>169</v>
      </c>
      <c r="B170" t="s">
        <v>257</v>
      </c>
      <c r="C170" t="s">
        <v>257</v>
      </c>
      <c r="D170" s="59">
        <v>44089</v>
      </c>
      <c r="E170" s="1" t="s">
        <v>19</v>
      </c>
      <c r="F170" s="1"/>
      <c r="G170" s="1"/>
      <c r="H170" s="1"/>
      <c r="I170" s="1"/>
      <c r="J170" s="1"/>
      <c r="K170" s="1"/>
      <c r="L170" s="1"/>
      <c r="M170" s="1"/>
      <c r="N170" s="7"/>
    </row>
    <row r="171" spans="1:14" x14ac:dyDescent="0.45">
      <c r="A171" s="1">
        <f t="shared" si="2"/>
        <v>170</v>
      </c>
      <c r="B171" t="s">
        <v>258</v>
      </c>
      <c r="C171" t="s">
        <v>258</v>
      </c>
      <c r="D171" s="59">
        <v>44089</v>
      </c>
      <c r="E171" s="1" t="s">
        <v>19</v>
      </c>
      <c r="F171" s="1"/>
      <c r="G171" s="1"/>
      <c r="H171" s="1"/>
      <c r="I171" s="1"/>
      <c r="J171" s="1"/>
      <c r="K171" s="1"/>
      <c r="L171" s="1"/>
      <c r="M171" s="1"/>
      <c r="N171" s="7"/>
    </row>
    <row r="172" spans="1:14" x14ac:dyDescent="0.45">
      <c r="A172" s="6">
        <f t="shared" si="2"/>
        <v>171</v>
      </c>
      <c r="B172" t="s">
        <v>259</v>
      </c>
      <c r="C172" t="s">
        <v>259</v>
      </c>
      <c r="D172" s="59">
        <v>44089</v>
      </c>
      <c r="E172" s="1" t="s">
        <v>19</v>
      </c>
      <c r="F172" s="1"/>
      <c r="G172" s="1"/>
      <c r="H172" s="1"/>
      <c r="I172" s="1"/>
      <c r="J172" s="1"/>
      <c r="K172" s="1"/>
      <c r="L172" s="1"/>
      <c r="M172" s="1"/>
      <c r="N172" s="7"/>
    </row>
    <row r="173" spans="1:14" x14ac:dyDescent="0.45">
      <c r="A173" s="6">
        <f t="shared" si="2"/>
        <v>172</v>
      </c>
      <c r="B173" t="s">
        <v>260</v>
      </c>
      <c r="C173" t="s">
        <v>260</v>
      </c>
      <c r="D173" s="59">
        <v>44089</v>
      </c>
      <c r="E173" s="1" t="s">
        <v>19</v>
      </c>
      <c r="F173" s="1"/>
      <c r="G173" s="1"/>
      <c r="H173" s="1"/>
      <c r="I173" s="1"/>
      <c r="J173" s="1"/>
      <c r="K173" s="1"/>
      <c r="L173" s="1"/>
      <c r="M173" s="1"/>
      <c r="N173" s="7"/>
    </row>
    <row r="174" spans="1:14" x14ac:dyDescent="0.45">
      <c r="A174" s="6">
        <f t="shared" si="2"/>
        <v>173</v>
      </c>
      <c r="B174" t="s">
        <v>261</v>
      </c>
      <c r="C174" t="s">
        <v>261</v>
      </c>
      <c r="D174" s="59">
        <v>44089</v>
      </c>
      <c r="E174" s="1" t="s">
        <v>19</v>
      </c>
      <c r="F174" s="1"/>
      <c r="G174" s="1"/>
      <c r="H174" s="1"/>
      <c r="I174" s="1"/>
      <c r="J174" s="1"/>
      <c r="K174" s="1"/>
      <c r="L174" s="1"/>
      <c r="M174" s="1"/>
      <c r="N174" s="7"/>
    </row>
    <row r="175" spans="1:14" x14ac:dyDescent="0.45">
      <c r="A175" s="6">
        <f t="shared" si="2"/>
        <v>174</v>
      </c>
      <c r="B175" t="s">
        <v>262</v>
      </c>
      <c r="C175" t="s">
        <v>262</v>
      </c>
      <c r="D175" s="59">
        <v>44089</v>
      </c>
      <c r="E175" s="1" t="s">
        <v>19</v>
      </c>
      <c r="F175" s="1"/>
      <c r="G175" s="1"/>
      <c r="H175" s="1"/>
      <c r="I175" s="1"/>
      <c r="J175" s="1"/>
      <c r="K175" s="1"/>
      <c r="L175" s="1"/>
      <c r="M175" s="1"/>
      <c r="N175" s="7"/>
    </row>
    <row r="176" spans="1:14" x14ac:dyDescent="0.45">
      <c r="A176" s="1">
        <f t="shared" si="2"/>
        <v>175</v>
      </c>
      <c r="B176" t="s">
        <v>263</v>
      </c>
      <c r="C176" t="s">
        <v>263</v>
      </c>
      <c r="D176" s="59">
        <v>44089</v>
      </c>
      <c r="E176" s="1" t="s">
        <v>19</v>
      </c>
      <c r="F176" s="1"/>
      <c r="G176" s="1"/>
      <c r="H176" s="1"/>
      <c r="I176" s="1"/>
      <c r="J176" s="1"/>
      <c r="K176" s="1"/>
      <c r="L176" s="1"/>
      <c r="M176" s="1"/>
      <c r="N176" s="7"/>
    </row>
    <row r="177" spans="1:14" x14ac:dyDescent="0.45">
      <c r="A177" s="1">
        <f t="shared" si="2"/>
        <v>176</v>
      </c>
      <c r="B177" t="s">
        <v>264</v>
      </c>
      <c r="C177" t="s">
        <v>264</v>
      </c>
      <c r="D177" s="59">
        <v>44089</v>
      </c>
      <c r="E177" s="1" t="s">
        <v>19</v>
      </c>
      <c r="F177" s="1"/>
      <c r="G177" s="1"/>
      <c r="H177" s="1"/>
      <c r="I177" s="1"/>
      <c r="J177" s="1"/>
      <c r="K177" s="1"/>
      <c r="L177" s="1"/>
      <c r="M177" s="1"/>
      <c r="N177" s="7"/>
    </row>
    <row r="178" spans="1:14" x14ac:dyDescent="0.45">
      <c r="A178" s="6">
        <f t="shared" si="2"/>
        <v>177</v>
      </c>
      <c r="B178" t="s">
        <v>265</v>
      </c>
      <c r="C178" t="s">
        <v>265</v>
      </c>
      <c r="D178" s="59">
        <v>44139</v>
      </c>
      <c r="E178" s="1" t="s">
        <v>19</v>
      </c>
      <c r="F178" s="1"/>
      <c r="G178" s="1"/>
      <c r="H178" s="1"/>
      <c r="I178" s="1"/>
      <c r="J178" s="1"/>
      <c r="K178" s="1"/>
      <c r="L178" s="1"/>
      <c r="M178" s="1"/>
      <c r="N178" s="7"/>
    </row>
    <row r="179" spans="1:14" x14ac:dyDescent="0.45">
      <c r="A179" s="6">
        <f t="shared" si="2"/>
        <v>178</v>
      </c>
      <c r="B179" t="s">
        <v>266</v>
      </c>
      <c r="C179" t="s">
        <v>266</v>
      </c>
      <c r="D179" s="59">
        <v>44155</v>
      </c>
      <c r="E179" s="1" t="s">
        <v>19</v>
      </c>
      <c r="F179" s="1"/>
      <c r="G179" s="1"/>
      <c r="H179" s="1"/>
      <c r="I179" s="1"/>
      <c r="J179" s="1"/>
      <c r="K179" s="1"/>
      <c r="L179" s="1"/>
      <c r="M179" s="1"/>
      <c r="N179" s="7"/>
    </row>
    <row r="180" spans="1:14" x14ac:dyDescent="0.45">
      <c r="A180" s="6">
        <f t="shared" si="2"/>
        <v>179</v>
      </c>
      <c r="B180" t="s">
        <v>267</v>
      </c>
      <c r="C180" t="s">
        <v>267</v>
      </c>
      <c r="D180" s="59">
        <v>44156</v>
      </c>
      <c r="E180" s="1" t="s">
        <v>19</v>
      </c>
      <c r="F180" s="1"/>
      <c r="G180" s="1"/>
      <c r="H180" s="1"/>
      <c r="I180" s="1"/>
      <c r="J180" s="1"/>
      <c r="K180" s="1"/>
      <c r="L180" s="1"/>
      <c r="M180" s="1"/>
      <c r="N180" s="7"/>
    </row>
    <row r="181" spans="1:14" x14ac:dyDescent="0.45">
      <c r="A181" s="6">
        <f t="shared" si="2"/>
        <v>180</v>
      </c>
      <c r="B181" t="s">
        <v>289</v>
      </c>
      <c r="C181" t="s">
        <v>289</v>
      </c>
      <c r="D181" s="59">
        <v>44142</v>
      </c>
      <c r="E181" s="1" t="s">
        <v>19</v>
      </c>
      <c r="F181" s="1"/>
      <c r="G181" s="1"/>
      <c r="H181" s="1"/>
      <c r="I181" s="1"/>
      <c r="J181" s="1"/>
      <c r="K181" s="1"/>
      <c r="L181" s="1"/>
      <c r="M181" s="1"/>
      <c r="N181" s="7"/>
    </row>
    <row r="182" spans="1:14" x14ac:dyDescent="0.45">
      <c r="A182" s="1">
        <f t="shared" si="2"/>
        <v>181</v>
      </c>
      <c r="B182" t="s">
        <v>290</v>
      </c>
      <c r="C182" t="s">
        <v>290</v>
      </c>
      <c r="D182" s="59">
        <v>44142</v>
      </c>
      <c r="E182" s="1" t="s">
        <v>19</v>
      </c>
      <c r="F182" s="1"/>
      <c r="G182" s="1"/>
      <c r="H182" s="1"/>
      <c r="I182" s="1"/>
      <c r="J182" s="1"/>
      <c r="K182" s="1"/>
      <c r="L182" s="1"/>
      <c r="M182" s="1"/>
      <c r="N182" s="7"/>
    </row>
    <row r="183" spans="1:14" x14ac:dyDescent="0.45">
      <c r="A183" s="6">
        <f t="shared" si="2"/>
        <v>182</v>
      </c>
      <c r="B183" s="1" t="s">
        <v>270</v>
      </c>
      <c r="C183" s="1" t="s">
        <v>270</v>
      </c>
      <c r="D183" s="59">
        <v>44212</v>
      </c>
      <c r="E183" s="1" t="s">
        <v>19</v>
      </c>
      <c r="F183" s="1"/>
      <c r="G183" s="1"/>
      <c r="H183" s="1"/>
      <c r="I183" s="1"/>
      <c r="J183" s="1"/>
      <c r="K183" s="1"/>
      <c r="L183" s="1"/>
      <c r="M183" s="1"/>
      <c r="N183" s="7"/>
    </row>
    <row r="184" spans="1:14" x14ac:dyDescent="0.45">
      <c r="A184" s="6">
        <f t="shared" si="2"/>
        <v>183</v>
      </c>
      <c r="B184" s="1" t="s">
        <v>271</v>
      </c>
      <c r="C184" s="1" t="s">
        <v>271</v>
      </c>
      <c r="D184" s="59">
        <v>44218</v>
      </c>
      <c r="E184" s="1" t="s">
        <v>19</v>
      </c>
      <c r="F184" s="1"/>
      <c r="G184" s="1"/>
      <c r="H184" s="1"/>
      <c r="I184" s="1"/>
      <c r="J184" s="1"/>
      <c r="K184" s="1"/>
      <c r="L184" s="1"/>
      <c r="M184" s="1"/>
      <c r="N184" s="7"/>
    </row>
    <row r="185" spans="1:14" x14ac:dyDescent="0.45">
      <c r="A185" s="1">
        <f t="shared" si="2"/>
        <v>184</v>
      </c>
      <c r="B185" s="1" t="s">
        <v>272</v>
      </c>
      <c r="C185" s="1" t="s">
        <v>272</v>
      </c>
      <c r="D185" s="59">
        <v>44218</v>
      </c>
      <c r="E185" s="1" t="s">
        <v>19</v>
      </c>
      <c r="F185" s="1"/>
      <c r="G185" s="1"/>
      <c r="H185" s="1"/>
      <c r="I185" s="1"/>
      <c r="J185" s="1"/>
      <c r="K185" s="1"/>
      <c r="L185" s="1"/>
      <c r="M185" s="1"/>
      <c r="N185" s="7"/>
    </row>
    <row r="186" spans="1:14" x14ac:dyDescent="0.45">
      <c r="A186" s="6">
        <f t="shared" si="2"/>
        <v>185</v>
      </c>
      <c r="B186" s="1" t="s">
        <v>273</v>
      </c>
      <c r="C186" s="1" t="s">
        <v>273</v>
      </c>
      <c r="D186" s="59">
        <v>44218</v>
      </c>
      <c r="E186" s="1" t="s">
        <v>19</v>
      </c>
      <c r="F186" s="1"/>
      <c r="G186" s="1"/>
      <c r="H186" s="1"/>
      <c r="I186" s="1"/>
      <c r="J186" s="1"/>
      <c r="K186" s="1"/>
      <c r="L186" s="1"/>
      <c r="M186" s="1"/>
      <c r="N186" s="7"/>
    </row>
    <row r="187" spans="1:14" x14ac:dyDescent="0.45">
      <c r="A187" s="6">
        <f t="shared" si="2"/>
        <v>186</v>
      </c>
      <c r="B187" s="1" t="s">
        <v>274</v>
      </c>
      <c r="C187" s="1" t="s">
        <v>274</v>
      </c>
      <c r="D187" s="59">
        <v>44218</v>
      </c>
      <c r="E187" s="1" t="s">
        <v>19</v>
      </c>
      <c r="F187" s="1"/>
      <c r="G187" s="1"/>
      <c r="H187" s="1"/>
      <c r="I187" s="1"/>
      <c r="J187" s="1"/>
      <c r="K187" s="1"/>
      <c r="L187" s="1"/>
      <c r="M187" s="1"/>
      <c r="N187" s="7"/>
    </row>
    <row r="188" spans="1:14" x14ac:dyDescent="0.45">
      <c r="A188" s="1">
        <f t="shared" si="2"/>
        <v>187</v>
      </c>
      <c r="B188" s="1" t="s">
        <v>275</v>
      </c>
      <c r="C188" s="1" t="s">
        <v>275</v>
      </c>
      <c r="D188" s="59">
        <v>44223</v>
      </c>
      <c r="E188" s="1" t="s">
        <v>19</v>
      </c>
      <c r="F188" s="1"/>
      <c r="G188" s="1"/>
      <c r="H188" s="1"/>
      <c r="I188" s="1"/>
      <c r="J188" s="1"/>
      <c r="K188" s="1"/>
      <c r="L188" s="1"/>
      <c r="M188" s="1"/>
      <c r="N188" s="7"/>
    </row>
    <row r="189" spans="1:14" x14ac:dyDescent="0.45">
      <c r="A189" s="6">
        <f t="shared" si="2"/>
        <v>188</v>
      </c>
      <c r="B189" s="1" t="s">
        <v>276</v>
      </c>
      <c r="C189" s="1" t="s">
        <v>276</v>
      </c>
      <c r="D189" s="59">
        <v>44226</v>
      </c>
      <c r="E189" s="1" t="s">
        <v>19</v>
      </c>
      <c r="F189" s="1"/>
      <c r="G189" s="1"/>
      <c r="H189" s="1"/>
      <c r="I189" s="1"/>
      <c r="J189" s="1"/>
      <c r="K189" s="1"/>
      <c r="L189" s="1"/>
      <c r="M189" s="1"/>
      <c r="N189" s="7"/>
    </row>
    <row r="190" spans="1:14" x14ac:dyDescent="0.45">
      <c r="A190" s="6">
        <f t="shared" si="2"/>
        <v>189</v>
      </c>
      <c r="B190" s="1" t="s">
        <v>277</v>
      </c>
      <c r="C190" s="1" t="s">
        <v>277</v>
      </c>
      <c r="D190" s="59">
        <v>44226</v>
      </c>
      <c r="E190" s="1" t="s">
        <v>19</v>
      </c>
      <c r="F190" s="1"/>
      <c r="G190" s="1"/>
      <c r="H190" s="1"/>
      <c r="I190" s="1"/>
      <c r="J190" s="1"/>
      <c r="K190" s="1"/>
      <c r="L190" s="1"/>
      <c r="M190" s="1"/>
      <c r="N190" s="7"/>
    </row>
    <row r="191" spans="1:14" x14ac:dyDescent="0.45">
      <c r="A191" s="1">
        <f t="shared" si="2"/>
        <v>190</v>
      </c>
      <c r="B191" s="1" t="s">
        <v>278</v>
      </c>
      <c r="C191" s="1" t="s">
        <v>278</v>
      </c>
      <c r="D191" s="59">
        <v>44226</v>
      </c>
      <c r="E191" s="1" t="s">
        <v>19</v>
      </c>
      <c r="F191" s="1"/>
      <c r="G191" s="1"/>
      <c r="H191" s="1"/>
      <c r="I191" s="1"/>
      <c r="J191" s="1"/>
      <c r="K191" s="1"/>
      <c r="L191" s="1"/>
      <c r="M191" s="1"/>
      <c r="N191" s="7"/>
    </row>
    <row r="192" spans="1:14" x14ac:dyDescent="0.45">
      <c r="A192" s="6">
        <f t="shared" si="2"/>
        <v>191</v>
      </c>
      <c r="B192" s="1" t="s">
        <v>279</v>
      </c>
      <c r="C192" s="1" t="s">
        <v>279</v>
      </c>
      <c r="D192" s="59">
        <v>44226</v>
      </c>
      <c r="E192" s="1" t="s">
        <v>19</v>
      </c>
      <c r="F192" s="1"/>
      <c r="G192" s="1"/>
      <c r="H192" s="1"/>
      <c r="I192" s="1"/>
      <c r="J192" s="1"/>
      <c r="K192" s="1"/>
      <c r="L192" s="1"/>
      <c r="M192" s="1"/>
      <c r="N192" s="7"/>
    </row>
    <row r="193" spans="1:14" x14ac:dyDescent="0.45">
      <c r="A193" s="6">
        <f t="shared" si="2"/>
        <v>192</v>
      </c>
      <c r="B193" s="1" t="s">
        <v>280</v>
      </c>
      <c r="C193" s="1" t="s">
        <v>280</v>
      </c>
      <c r="D193" s="59">
        <v>44226</v>
      </c>
      <c r="E193" s="1" t="s">
        <v>19</v>
      </c>
      <c r="F193" s="1"/>
      <c r="G193" s="1"/>
      <c r="H193" s="1"/>
      <c r="I193" s="1"/>
      <c r="J193" s="1"/>
      <c r="K193" s="1"/>
      <c r="L193" s="1"/>
      <c r="M193" s="1"/>
      <c r="N193" s="7"/>
    </row>
    <row r="194" spans="1:14" x14ac:dyDescent="0.45">
      <c r="A194" s="1">
        <f t="shared" si="2"/>
        <v>193</v>
      </c>
      <c r="B194" s="1" t="s">
        <v>281</v>
      </c>
      <c r="C194" s="1" t="s">
        <v>281</v>
      </c>
      <c r="D194" s="59">
        <v>44259</v>
      </c>
      <c r="E194" s="1" t="s">
        <v>19</v>
      </c>
      <c r="F194" s="1"/>
      <c r="G194" s="1"/>
      <c r="H194" s="1"/>
      <c r="I194" s="1"/>
      <c r="J194" s="1"/>
      <c r="K194" s="1"/>
      <c r="L194" s="1"/>
      <c r="M194" s="1"/>
      <c r="N194" s="7"/>
    </row>
    <row r="195" spans="1:14" x14ac:dyDescent="0.45">
      <c r="A195" s="6">
        <f t="shared" ref="A195:A201" si="3">A194+1</f>
        <v>194</v>
      </c>
      <c r="B195" s="1" t="s">
        <v>282</v>
      </c>
      <c r="C195" s="1" t="s">
        <v>282</v>
      </c>
      <c r="D195" s="59">
        <v>44259</v>
      </c>
      <c r="E195" s="1" t="s">
        <v>19</v>
      </c>
      <c r="F195" s="1"/>
      <c r="G195" s="1"/>
      <c r="H195" s="1"/>
      <c r="I195" s="1"/>
      <c r="J195" s="1"/>
      <c r="K195" s="1"/>
      <c r="L195" s="1"/>
      <c r="M195" s="1"/>
      <c r="N195" s="7"/>
    </row>
    <row r="196" spans="1:14" x14ac:dyDescent="0.45">
      <c r="A196" s="6">
        <f t="shared" si="3"/>
        <v>195</v>
      </c>
      <c r="B196" s="1" t="s">
        <v>283</v>
      </c>
      <c r="C196" s="1" t="s">
        <v>283</v>
      </c>
      <c r="D196" s="59">
        <v>44259</v>
      </c>
      <c r="E196" s="1" t="s">
        <v>19</v>
      </c>
      <c r="F196" s="1"/>
      <c r="G196" s="1"/>
      <c r="H196" s="1"/>
      <c r="I196" s="1"/>
      <c r="J196" s="1"/>
      <c r="K196" s="1"/>
      <c r="L196" s="1"/>
      <c r="M196" s="1"/>
      <c r="N196" s="7"/>
    </row>
    <row r="197" spans="1:14" x14ac:dyDescent="0.45">
      <c r="A197" s="1">
        <f t="shared" si="3"/>
        <v>196</v>
      </c>
      <c r="B197" s="1" t="s">
        <v>284</v>
      </c>
      <c r="C197" s="1" t="s">
        <v>284</v>
      </c>
      <c r="D197" s="59">
        <v>44259</v>
      </c>
      <c r="E197" s="1" t="s">
        <v>19</v>
      </c>
      <c r="F197" s="1"/>
      <c r="G197" s="1"/>
      <c r="H197" s="1"/>
      <c r="I197" s="1"/>
      <c r="J197" s="1"/>
      <c r="K197" s="1"/>
      <c r="L197" s="1"/>
      <c r="M197" s="1"/>
      <c r="N197" s="7"/>
    </row>
    <row r="198" spans="1:14" x14ac:dyDescent="0.45">
      <c r="A198" s="6">
        <f t="shared" si="3"/>
        <v>197</v>
      </c>
      <c r="B198" s="1" t="s">
        <v>285</v>
      </c>
      <c r="C198" s="1" t="s">
        <v>285</v>
      </c>
      <c r="D198" s="59">
        <v>44268</v>
      </c>
      <c r="E198" s="1" t="s">
        <v>19</v>
      </c>
      <c r="F198" s="1"/>
      <c r="G198" s="1"/>
      <c r="H198" s="1"/>
      <c r="I198" s="1"/>
      <c r="J198" s="1"/>
      <c r="K198" s="1"/>
      <c r="L198" s="1"/>
      <c r="M198" s="1"/>
      <c r="N198" s="7"/>
    </row>
    <row r="199" spans="1:14" x14ac:dyDescent="0.45">
      <c r="A199" s="6">
        <f t="shared" si="3"/>
        <v>198</v>
      </c>
      <c r="B199" s="1" t="s">
        <v>286</v>
      </c>
      <c r="C199" s="1" t="s">
        <v>286</v>
      </c>
      <c r="D199" s="59">
        <v>44268</v>
      </c>
      <c r="E199" s="1" t="s">
        <v>19</v>
      </c>
      <c r="F199" s="1"/>
      <c r="G199" s="1"/>
      <c r="H199" s="1"/>
      <c r="I199" s="1"/>
      <c r="J199" s="1"/>
      <c r="K199" s="1"/>
      <c r="L199" s="1"/>
      <c r="M199" s="1"/>
      <c r="N199" s="7"/>
    </row>
    <row r="200" spans="1:14" x14ac:dyDescent="0.45">
      <c r="A200" s="1">
        <f t="shared" si="3"/>
        <v>199</v>
      </c>
      <c r="B200" s="1" t="s">
        <v>287</v>
      </c>
      <c r="C200" s="1" t="s">
        <v>287</v>
      </c>
      <c r="D200" s="59">
        <v>44268</v>
      </c>
      <c r="E200" s="1" t="s">
        <v>19</v>
      </c>
      <c r="F200" s="1"/>
      <c r="G200" s="1"/>
      <c r="H200" s="1"/>
      <c r="I200" s="1"/>
      <c r="J200" s="1"/>
      <c r="K200" s="1"/>
      <c r="L200" s="1"/>
      <c r="M200" s="1"/>
      <c r="N200" s="7"/>
    </row>
    <row r="201" spans="1:14" x14ac:dyDescent="0.45">
      <c r="A201" s="6">
        <f t="shared" si="3"/>
        <v>200</v>
      </c>
      <c r="B201" s="1" t="s">
        <v>288</v>
      </c>
      <c r="C201" s="1" t="s">
        <v>288</v>
      </c>
      <c r="D201" s="59">
        <v>44268</v>
      </c>
      <c r="E201" s="1" t="s">
        <v>19</v>
      </c>
      <c r="F201" s="1"/>
      <c r="G201" s="1"/>
      <c r="H201" s="1"/>
      <c r="I201" s="1"/>
      <c r="J201" s="1"/>
      <c r="K201" s="1"/>
      <c r="L201" s="1"/>
      <c r="M201" s="1"/>
      <c r="N201" s="7"/>
    </row>
    <row r="202" spans="1:14" x14ac:dyDescent="0.45">
      <c r="A202" s="6"/>
      <c r="B202" s="1" t="s">
        <v>317</v>
      </c>
      <c r="C202" s="1" t="s">
        <v>317</v>
      </c>
      <c r="D202" s="59">
        <v>44089</v>
      </c>
      <c r="E202" s="1" t="s">
        <v>19</v>
      </c>
      <c r="F202" s="1"/>
      <c r="G202" s="1"/>
      <c r="H202" s="1"/>
      <c r="I202" s="1"/>
      <c r="J202" s="1"/>
      <c r="K202" s="1"/>
      <c r="L202" s="1"/>
      <c r="M202" s="1"/>
      <c r="N202" s="7"/>
    </row>
    <row r="203" spans="1:14" x14ac:dyDescent="0.45">
      <c r="A203" s="6"/>
      <c r="B203" s="1" t="s">
        <v>318</v>
      </c>
      <c r="C203" s="1" t="s">
        <v>318</v>
      </c>
      <c r="D203" s="59">
        <v>44089</v>
      </c>
      <c r="E203" s="1" t="s">
        <v>19</v>
      </c>
      <c r="F203" s="1"/>
      <c r="G203" s="1"/>
      <c r="H203" s="1"/>
      <c r="I203" s="1"/>
      <c r="J203" s="1"/>
      <c r="K203" s="1"/>
      <c r="L203" s="1"/>
      <c r="M203" s="1"/>
      <c r="N203" s="7"/>
    </row>
    <row r="204" spans="1:14" x14ac:dyDescent="0.45">
      <c r="A204" s="6"/>
      <c r="B204" s="1" t="s">
        <v>319</v>
      </c>
      <c r="C204" s="1" t="s">
        <v>319</v>
      </c>
      <c r="D204" s="59">
        <v>43892</v>
      </c>
      <c r="E204" s="1" t="s">
        <v>19</v>
      </c>
      <c r="F204" s="1"/>
      <c r="G204" s="1"/>
      <c r="H204" s="1"/>
      <c r="I204" s="1"/>
      <c r="J204" s="1"/>
      <c r="K204" s="1"/>
      <c r="L204" s="1"/>
      <c r="M204" s="1"/>
      <c r="N204" s="7"/>
    </row>
    <row r="205" spans="1:14" x14ac:dyDescent="0.45">
      <c r="A205" s="6"/>
      <c r="B205" s="1" t="s">
        <v>320</v>
      </c>
      <c r="C205" s="1" t="s">
        <v>320</v>
      </c>
      <c r="D205" s="59">
        <v>43892</v>
      </c>
      <c r="E205" s="1" t="s">
        <v>19</v>
      </c>
      <c r="F205" s="1"/>
      <c r="G205" s="1"/>
      <c r="H205" s="1"/>
      <c r="I205" s="1"/>
      <c r="J205" s="1"/>
      <c r="K205" s="1"/>
      <c r="L205" s="1"/>
      <c r="M205" s="1"/>
      <c r="N205" s="7"/>
    </row>
    <row r="206" spans="1:14" x14ac:dyDescent="0.45">
      <c r="A206" s="6"/>
      <c r="B206" s="1" t="s">
        <v>321</v>
      </c>
      <c r="C206" s="1" t="s">
        <v>321</v>
      </c>
      <c r="D206" s="59">
        <v>43892</v>
      </c>
      <c r="E206" s="1" t="s">
        <v>19</v>
      </c>
      <c r="F206" s="1"/>
      <c r="G206" s="1"/>
      <c r="H206" s="1"/>
      <c r="I206" s="1"/>
      <c r="J206" s="1"/>
      <c r="K206" s="1"/>
      <c r="L206" s="1"/>
      <c r="M206" s="1"/>
      <c r="N206" s="7"/>
    </row>
    <row r="207" spans="1:14" x14ac:dyDescent="0.45">
      <c r="A207" s="6"/>
      <c r="B207" s="1" t="s">
        <v>322</v>
      </c>
      <c r="C207" s="1" t="s">
        <v>322</v>
      </c>
      <c r="D207" s="59">
        <v>43892</v>
      </c>
      <c r="E207" s="1" t="s">
        <v>19</v>
      </c>
      <c r="F207" s="1"/>
      <c r="G207" s="1"/>
      <c r="H207" s="1"/>
      <c r="I207" s="1"/>
      <c r="J207" s="1"/>
      <c r="K207" s="1"/>
      <c r="L207" s="1"/>
      <c r="M207" s="1"/>
      <c r="N207" s="7"/>
    </row>
    <row r="208" spans="1:14" x14ac:dyDescent="0.45">
      <c r="A208" s="6"/>
      <c r="B208" s="1" t="s">
        <v>323</v>
      </c>
      <c r="C208" s="1" t="s">
        <v>323</v>
      </c>
      <c r="D208" s="59">
        <v>44027</v>
      </c>
      <c r="E208" s="1" t="s">
        <v>19</v>
      </c>
      <c r="F208" s="1"/>
      <c r="G208" s="1"/>
      <c r="H208" s="1"/>
      <c r="I208" s="1"/>
      <c r="J208" s="1"/>
      <c r="K208" s="1"/>
      <c r="L208" s="1"/>
      <c r="M208" s="1"/>
      <c r="N208" s="7"/>
    </row>
    <row r="209" spans="1:14" x14ac:dyDescent="0.45">
      <c r="A209" s="6"/>
      <c r="B209" s="1" t="s">
        <v>324</v>
      </c>
      <c r="C209" s="1" t="s">
        <v>324</v>
      </c>
      <c r="D209" s="59">
        <v>44027</v>
      </c>
      <c r="E209" s="1" t="s">
        <v>19</v>
      </c>
      <c r="F209" s="1"/>
      <c r="G209" s="1"/>
      <c r="H209" s="1"/>
      <c r="I209" s="1"/>
      <c r="J209" s="1"/>
      <c r="K209" s="1"/>
      <c r="L209" s="1"/>
      <c r="M209" s="1"/>
      <c r="N209" s="7"/>
    </row>
  </sheetData>
  <conditionalFormatting sqref="D29:E53 E54">
    <cfRule type="expression" dxfId="5" priority="3">
      <formula>$C29="ERROR"</formula>
    </cfRule>
  </conditionalFormatting>
  <conditionalFormatting sqref="D55:E80 E81">
    <cfRule type="expression" dxfId="4" priority="2">
      <formula>$C55="ERROR"</formula>
    </cfRule>
  </conditionalFormatting>
  <conditionalFormatting sqref="D82:E107 E108 D109:E109">
    <cfRule type="expression" dxfId="3" priority="1">
      <formula>$C82="ERROR"</formula>
    </cfRule>
  </conditionalFormatting>
  <conditionalFormatting sqref="D2:N26 A2:A209 E27:N27 D28:N28 F29:N109 E110:N209">
    <cfRule type="expression" dxfId="2" priority="4">
      <formula>$C2="ERROR"</formula>
    </cfRule>
  </conditionalFormatting>
  <dataValidations count="1">
    <dataValidation type="list" allowBlank="1" showDropDown="1" showInputMessage="1" showErrorMessage="1" sqref="B1:B1048576 C2:C209" xr:uid="{00000000-0002-0000-0300-000000000000}">
      <formula1>TAG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Validations!$N$2:$N$6</xm:f>
          </x14:formula1>
          <xm:sqref>E2:E209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20"/>
  <sheetViews>
    <sheetView workbookViewId="0">
      <selection activeCell="A2" sqref="A2"/>
    </sheetView>
  </sheetViews>
  <sheetFormatPr defaultRowHeight="14.25" x14ac:dyDescent="0.45"/>
  <cols>
    <col min="1" max="1" width="13.86328125" customWidth="1"/>
    <col min="2" max="2" width="15.1328125" bestFit="1" customWidth="1"/>
    <col min="4" max="4" width="15.1328125" bestFit="1" customWidth="1"/>
    <col min="5" max="5" width="12" bestFit="1" customWidth="1"/>
    <col min="6" max="6" width="13.1328125" customWidth="1"/>
    <col min="7" max="7" width="15.265625" bestFit="1" customWidth="1"/>
    <col min="8" max="8" width="13.59765625" customWidth="1"/>
    <col min="9" max="9" width="12.265625" customWidth="1"/>
    <col min="10" max="10" width="8.3984375" bestFit="1" customWidth="1"/>
    <col min="11" max="11" width="11.73046875" bestFit="1" customWidth="1"/>
    <col min="12" max="12" width="4.3984375" bestFit="1" customWidth="1"/>
    <col min="13" max="13" width="15.265625" bestFit="1" customWidth="1"/>
  </cols>
  <sheetData>
    <row r="2" spans="1:9" x14ac:dyDescent="0.45">
      <c r="A2" t="s">
        <v>226</v>
      </c>
    </row>
    <row r="4" spans="1:9" x14ac:dyDescent="0.45">
      <c r="A4" s="3" t="s">
        <v>43</v>
      </c>
      <c r="B4" s="4" t="s">
        <v>2</v>
      </c>
      <c r="C4" s="4" t="s">
        <v>238</v>
      </c>
      <c r="D4" s="4" t="s">
        <v>14</v>
      </c>
      <c r="E4" s="4" t="s">
        <v>239</v>
      </c>
      <c r="F4" s="4" t="s">
        <v>240</v>
      </c>
      <c r="G4" s="4" t="s">
        <v>241</v>
      </c>
      <c r="H4" s="4" t="s">
        <v>242</v>
      </c>
      <c r="I4" s="5" t="s">
        <v>243</v>
      </c>
    </row>
    <row r="5" spans="1:9" x14ac:dyDescent="0.45">
      <c r="A5" s="6"/>
      <c r="B5" s="1" t="s">
        <v>9</v>
      </c>
      <c r="C5" s="1"/>
      <c r="D5" s="1"/>
      <c r="E5" s="1"/>
      <c r="F5" s="1"/>
      <c r="G5" s="1"/>
      <c r="H5" s="1"/>
      <c r="I5" s="7">
        <f>Table3[[#This Row],[Opening Stock]]+Table3[[#This Row],[Additions]]-Table3[[#This Row],[Transfer]]-Table3[[#This Row],[Sold/Expired2]]-Table3[[#This Row],[Scrap]]</f>
        <v>0</v>
      </c>
    </row>
    <row r="6" spans="1:9" x14ac:dyDescent="0.45">
      <c r="A6" s="6"/>
      <c r="B6" s="1" t="s">
        <v>244</v>
      </c>
      <c r="C6" s="1"/>
      <c r="D6" s="1"/>
      <c r="E6" s="1"/>
      <c r="F6" s="1"/>
      <c r="G6" s="1"/>
      <c r="H6" s="1"/>
      <c r="I6" s="7">
        <f>Table3[[#This Row],[Opening Stock]]+Table3[[#This Row],[Additions]]-Table3[[#This Row],[Transfer]]-Table3[[#This Row],[Sold/Expired2]]-Table3[[#This Row],[Scrap]]</f>
        <v>0</v>
      </c>
    </row>
    <row r="7" spans="1:9" x14ac:dyDescent="0.45">
      <c r="A7" s="6"/>
      <c r="B7" s="1" t="s">
        <v>20</v>
      </c>
      <c r="C7" s="1"/>
      <c r="D7" s="1"/>
      <c r="E7" s="1"/>
      <c r="F7" s="1"/>
      <c r="G7" s="1"/>
      <c r="H7" s="1"/>
      <c r="I7" s="7">
        <f>Table3[[#This Row],[Opening Stock]]+Table3[[#This Row],[Additions]]-Table3[[#This Row],[Transfer]]-Table3[[#This Row],[Sold/Expired2]]-Table3[[#This Row],[Scrap]]</f>
        <v>0</v>
      </c>
    </row>
    <row r="8" spans="1:9" x14ac:dyDescent="0.45">
      <c r="A8" s="6"/>
      <c r="B8" s="1" t="s">
        <v>22</v>
      </c>
      <c r="C8" s="1"/>
      <c r="D8" s="1"/>
      <c r="E8" s="1"/>
      <c r="F8" s="1"/>
      <c r="G8" s="1"/>
      <c r="H8" s="1"/>
      <c r="I8" s="7">
        <f>Table3[[#This Row],[Opening Stock]]+Table3[[#This Row],[Additions]]-Table3[[#This Row],[Transfer]]-Table3[[#This Row],[Sold/Expired2]]-Table3[[#This Row],[Scrap]]</f>
        <v>0</v>
      </c>
    </row>
    <row r="9" spans="1:9" x14ac:dyDescent="0.45">
      <c r="A9" s="6"/>
      <c r="B9" s="1" t="s">
        <v>24</v>
      </c>
      <c r="C9" s="1"/>
      <c r="D9" s="1"/>
      <c r="E9" s="1"/>
      <c r="F9" s="1"/>
      <c r="G9" s="1"/>
      <c r="H9" s="1"/>
      <c r="I9" s="7">
        <f>Table3[[#This Row],[Opening Stock]]+Table3[[#This Row],[Additions]]-Table3[[#This Row],[Transfer]]-Table3[[#This Row],[Sold/Expired2]]-Table3[[#This Row],[Scrap]]</f>
        <v>0</v>
      </c>
    </row>
    <row r="10" spans="1:9" x14ac:dyDescent="0.45">
      <c r="A10" s="6"/>
      <c r="B10" s="1" t="s">
        <v>26</v>
      </c>
      <c r="C10" s="1"/>
      <c r="D10" s="1"/>
      <c r="E10" s="1"/>
      <c r="F10" s="1"/>
      <c r="G10" s="1"/>
      <c r="H10" s="1"/>
      <c r="I10" s="7">
        <f>Table3[[#This Row],[Opening Stock]]+Table3[[#This Row],[Additions]]-Table3[[#This Row],[Transfer]]-Table3[[#This Row],[Sold/Expired2]]-Table3[[#This Row],[Scrap]]</f>
        <v>0</v>
      </c>
    </row>
    <row r="11" spans="1:9" x14ac:dyDescent="0.45">
      <c r="A11" s="6"/>
      <c r="B11" s="1" t="s">
        <v>27</v>
      </c>
      <c r="C11" s="1"/>
      <c r="D11" s="1"/>
      <c r="E11" s="1"/>
      <c r="F11" s="1"/>
      <c r="G11" s="1"/>
      <c r="H11" s="1"/>
      <c r="I11" s="7">
        <f>Table3[[#This Row],[Opening Stock]]+Table3[[#This Row],[Additions]]-Table3[[#This Row],[Transfer]]-Table3[[#This Row],[Sold/Expired2]]-Table3[[#This Row],[Scrap]]</f>
        <v>0</v>
      </c>
    </row>
    <row r="12" spans="1:9" x14ac:dyDescent="0.45">
      <c r="A12" s="6"/>
      <c r="B12" s="1" t="s">
        <v>28</v>
      </c>
      <c r="C12" s="1"/>
      <c r="D12" s="1"/>
      <c r="E12" s="1"/>
      <c r="F12" s="1"/>
      <c r="G12" s="1"/>
      <c r="H12" s="1"/>
      <c r="I12" s="7">
        <f>Table3[[#This Row],[Opening Stock]]+Table3[[#This Row],[Additions]]-Table3[[#This Row],[Transfer]]-Table3[[#This Row],[Sold/Expired2]]-Table3[[#This Row],[Scrap]]</f>
        <v>0</v>
      </c>
    </row>
    <row r="13" spans="1:9" x14ac:dyDescent="0.45">
      <c r="A13" s="6"/>
      <c r="B13" s="1" t="s">
        <v>29</v>
      </c>
      <c r="C13" s="1"/>
      <c r="D13" s="1"/>
      <c r="E13" s="1"/>
      <c r="F13" s="1"/>
      <c r="G13" s="1"/>
      <c r="H13" s="1"/>
      <c r="I13" s="7">
        <f>Table3[[#This Row],[Opening Stock]]+Table3[[#This Row],[Additions]]-Table3[[#This Row],[Transfer]]-Table3[[#This Row],[Sold/Expired2]]-Table3[[#This Row],[Scrap]]</f>
        <v>0</v>
      </c>
    </row>
    <row r="14" spans="1:9" x14ac:dyDescent="0.45">
      <c r="A14" s="6"/>
      <c r="B14" s="1" t="s">
        <v>30</v>
      </c>
      <c r="C14" s="1"/>
      <c r="D14" s="1"/>
      <c r="E14" s="1"/>
      <c r="F14" s="1"/>
      <c r="G14" s="1"/>
      <c r="H14" s="1"/>
      <c r="I14" s="7">
        <f>Table3[[#This Row],[Opening Stock]]+Table3[[#This Row],[Additions]]-Table3[[#This Row],[Transfer]]-Table3[[#This Row],[Sold/Expired2]]-Table3[[#This Row],[Scrap]]</f>
        <v>0</v>
      </c>
    </row>
    <row r="15" spans="1:9" x14ac:dyDescent="0.45">
      <c r="A15" s="6"/>
      <c r="B15" s="1" t="s">
        <v>31</v>
      </c>
      <c r="C15" s="1"/>
      <c r="D15" s="1"/>
      <c r="E15" s="1"/>
      <c r="F15" s="1"/>
      <c r="G15" s="1"/>
      <c r="H15" s="1"/>
      <c r="I15" s="7">
        <f>Table3[[#This Row],[Opening Stock]]+Table3[[#This Row],[Additions]]-Table3[[#This Row],[Transfer]]-Table3[[#This Row],[Sold/Expired2]]-Table3[[#This Row],[Scrap]]</f>
        <v>0</v>
      </c>
    </row>
    <row r="16" spans="1:9" x14ac:dyDescent="0.45">
      <c r="A16" s="6"/>
      <c r="B16" s="1"/>
      <c r="C16" s="1"/>
      <c r="D16" s="1"/>
      <c r="E16" s="1"/>
      <c r="F16" s="1"/>
      <c r="G16" s="1"/>
      <c r="H16" s="1"/>
      <c r="I16" s="7">
        <f>Table3[[#This Row],[Opening Stock]]+Table3[[#This Row],[Additions]]-Table3[[#This Row],[Transfer]]-Table3[[#This Row],[Sold/Expired2]]-Table3[[#This Row],[Scrap]]</f>
        <v>0</v>
      </c>
    </row>
    <row r="17" spans="1:9" x14ac:dyDescent="0.45">
      <c r="A17" s="6"/>
      <c r="B17" s="1"/>
      <c r="C17" s="1"/>
      <c r="D17" s="1"/>
      <c r="E17" s="1"/>
      <c r="F17" s="1"/>
      <c r="G17" s="1"/>
      <c r="H17" s="1"/>
      <c r="I17" s="7">
        <f>Table3[[#This Row],[Opening Stock]]+Table3[[#This Row],[Additions]]-Table3[[#This Row],[Transfer]]-Table3[[#This Row],[Sold/Expired2]]-Table3[[#This Row],[Scrap]]</f>
        <v>0</v>
      </c>
    </row>
    <row r="18" spans="1:9" x14ac:dyDescent="0.45">
      <c r="A18" s="6"/>
      <c r="B18" s="1"/>
      <c r="C18" s="1"/>
      <c r="D18" s="1"/>
      <c r="E18" s="1"/>
      <c r="F18" s="1"/>
      <c r="G18" s="1"/>
      <c r="H18" s="1"/>
      <c r="I18" s="7">
        <f>Table3[[#This Row],[Opening Stock]]+Table3[[#This Row],[Additions]]-Table3[[#This Row],[Transfer]]-Table3[[#This Row],[Sold/Expired2]]-Table3[[#This Row],[Scrap]]</f>
        <v>0</v>
      </c>
    </row>
    <row r="19" spans="1:9" x14ac:dyDescent="0.45">
      <c r="A19" s="6"/>
      <c r="B19" s="1"/>
      <c r="C19" s="1"/>
      <c r="D19" s="1"/>
      <c r="E19" s="1"/>
      <c r="F19" s="1"/>
      <c r="G19" s="1"/>
      <c r="H19" s="1"/>
      <c r="I19" s="7">
        <f>Table3[[#This Row],[Opening Stock]]+Table3[[#This Row],[Additions]]-Table3[[#This Row],[Transfer]]-Table3[[#This Row],[Sold/Expired2]]-Table3[[#This Row],[Scrap]]</f>
        <v>0</v>
      </c>
    </row>
    <row r="20" spans="1:9" x14ac:dyDescent="0.45">
      <c r="A20" s="8"/>
      <c r="B20" s="9"/>
      <c r="C20" s="9"/>
      <c r="D20" s="9"/>
      <c r="E20" s="9"/>
      <c r="F20" s="9"/>
      <c r="G20" s="9"/>
      <c r="H20" s="9"/>
      <c r="I20" s="10">
        <f>Table3[[#This Row],[Opening Stock]]+Table3[[#This Row],[Additions]]-Table3[[#This Row],[Transfer]]-Table3[[#This Row],[Sold/Expired2]]-Table3[[#This Row],[Scrap]]</f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selection activeCell="A2" sqref="A2"/>
    </sheetView>
  </sheetViews>
  <sheetFormatPr defaultRowHeight="14.25" x14ac:dyDescent="0.45"/>
  <cols>
    <col min="1" max="1" width="12.73046875" bestFit="1" customWidth="1"/>
    <col min="2" max="2" width="8.73046875" bestFit="1" customWidth="1"/>
    <col min="3" max="3" width="12.59765625" bestFit="1" customWidth="1"/>
    <col min="4" max="4" width="8.59765625" bestFit="1" customWidth="1"/>
    <col min="5" max="5" width="11.265625" bestFit="1" customWidth="1"/>
    <col min="6" max="6" width="7" bestFit="1" customWidth="1"/>
    <col min="7" max="7" width="11.73046875" bestFit="1" customWidth="1"/>
  </cols>
  <sheetData>
    <row r="1" spans="1:7" x14ac:dyDescent="0.45">
      <c r="A1" t="s">
        <v>42</v>
      </c>
      <c r="B1" t="s">
        <v>41</v>
      </c>
      <c r="C1" t="s">
        <v>14</v>
      </c>
      <c r="D1" t="s">
        <v>239</v>
      </c>
      <c r="E1" t="s">
        <v>23</v>
      </c>
      <c r="F1" t="s">
        <v>242</v>
      </c>
      <c r="G1" t="s">
        <v>245</v>
      </c>
    </row>
    <row r="2" spans="1:7" x14ac:dyDescent="0.45">
      <c r="B2" t="s">
        <v>246</v>
      </c>
    </row>
    <row r="3" spans="1:7" x14ac:dyDescent="0.45">
      <c r="B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Validations</vt:lpstr>
      <vt:lpstr>Code File</vt:lpstr>
      <vt:lpstr>TagTheAsset</vt:lpstr>
      <vt:lpstr>Transaction</vt:lpstr>
      <vt:lpstr>Item wise Report</vt:lpstr>
      <vt:lpstr>Location Wise Report</vt:lpstr>
      <vt:lpstr>TAG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NoteBook</dc:creator>
  <cp:keywords/>
  <dc:description/>
  <cp:lastModifiedBy>IT Team</cp:lastModifiedBy>
  <cp:revision/>
  <dcterms:created xsi:type="dcterms:W3CDTF">2020-05-22T09:42:27Z</dcterms:created>
  <dcterms:modified xsi:type="dcterms:W3CDTF">2025-08-30T13:05:54Z</dcterms:modified>
  <cp:category/>
  <cp:contentStatus/>
</cp:coreProperties>
</file>